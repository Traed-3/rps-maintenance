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rmits" sheetId="2" state="visible" r:id="rId4"/>
    <sheet name="Workflow &amp; Status Key" sheetId="3" state="visible" r:id="rId5"/>
    <sheet name="Jurisdiction Contacts" sheetId="4" state="visible" r:id="rId6"/>
    <sheet name="Deliverables Log" sheetId="5" state="visible" r:id="rId7"/>
    <sheet name="Standard Info" sheetId="6" state="visible" r:id="rId8"/>
  </sheets>
  <definedNames>
    <definedName function="false" hidden="true" localSheetId="4" name="_xlnm._FilterDatabase" vbProcedure="false">'Deliverables Log'!$A$1:$F$18</definedName>
    <definedName function="false" hidden="true" localSheetId="1" name="_xlnm._FilterDatabase" vbProcedure="false">Permits!$A$1:$Z$26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<sst xmlns="http://schemas.openxmlformats.org/spreadsheetml/2006/main" count="831" uniqueCount="450">
  <si>
    <t xml:space="preserve">RPS PERMIT TRACKER — DASHBOARD</t>
  </si>
  <si>
    <t xml:space="preserve">Rappahannock Petroleum, LLC   |   one row per permit</t>
  </si>
  <si>
    <t xml:space="preserve">STATUS COUNTS</t>
  </si>
  <si>
    <t xml:space="preserve">THE BIG ONE</t>
  </si>
  <si>
    <t xml:space="preserve">Not Started</t>
  </si>
  <si>
    <t xml:space="preserve">Unknown means Hash has not pulled the electrical yet, so we still do not know whether a building or mechanical permit is coming. Once the electrical is in hand, nothing else is needed and that row flips to None - confirmed at pull. Every Unknown inside 28 days of a work date is the thing that kills a schedule. Chase those first.</t>
  </si>
  <si>
    <t xml:space="preserve">Submitted to Hash</t>
  </si>
  <si>
    <t xml:space="preserve">Hash Submitted Confirmed</t>
  </si>
  <si>
    <t xml:space="preserve">In Progress</t>
  </si>
  <si>
    <t xml:space="preserve">Permit In-Hand</t>
  </si>
  <si>
    <t xml:space="preserve">WHAT EACH PERMIT IS WAITING ON</t>
  </si>
  <si>
    <t xml:space="preserve">Inspection Scheduled</t>
  </si>
  <si>
    <t xml:space="preserve">Permit ID</t>
  </si>
  <si>
    <t xml:space="preserve">Jurisdiction</t>
  </si>
  <si>
    <t xml:space="preserve">Pulled By</t>
  </si>
  <si>
    <t xml:space="preserve">Status</t>
  </si>
  <si>
    <t xml:space="preserve">Work Date</t>
  </si>
  <si>
    <t xml:space="preserve">Waiting On</t>
  </si>
  <si>
    <t xml:space="preserve">Complete</t>
  </si>
  <si>
    <t xml:space="preserve">32976-ELEC</t>
  </si>
  <si>
    <t xml:space="preserve">Prince William County, VA</t>
  </si>
  <si>
    <t xml:space="preserve">Hash</t>
  </si>
  <si>
    <t xml:space="preserve">Confirm the USG permit was ever pulled. Work is 8/13.</t>
  </si>
  <si>
    <t xml:space="preserve">On Hold</t>
  </si>
  <si>
    <t xml:space="preserve">34688-ELEC</t>
  </si>
  <si>
    <t xml:space="preserve">Ranson / Jefferson Co, WV</t>
  </si>
  <si>
    <t xml:space="preserve">Hash VA license does not cover WV. Confirm before filing.</t>
  </si>
  <si>
    <t xml:space="preserve">Rejected</t>
  </si>
  <si>
    <t xml:space="preserve">34022-ELEC</t>
  </si>
  <si>
    <t xml:space="preserve">Warren County, VA</t>
  </si>
  <si>
    <t xml:space="preserve">Submit to inspections@warrencountyva.gov.</t>
  </si>
  <si>
    <t xml:space="preserve">34022-BLDG</t>
  </si>
  <si>
    <t xml:space="preserve">RPS</t>
  </si>
  <si>
    <t xml:space="preserve">RPS has not started the building permit.</t>
  </si>
  <si>
    <t xml:space="preserve">TOTAL PERMITS TRACKED</t>
  </si>
  <si>
    <t xml:space="preserve">23689-ELEC</t>
  </si>
  <si>
    <t xml:space="preserve">Baltimore City, MD</t>
  </si>
  <si>
    <t xml:space="preserve">Proof of ownership. Deed submitted 3/13.</t>
  </si>
  <si>
    <t xml:space="preserve">32258-ELEC</t>
  </si>
  <si>
    <t xml:space="preserve">Owner signature for zoning.</t>
  </si>
  <si>
    <t xml:space="preserve">ATTENTION</t>
  </si>
  <si>
    <t xml:space="preserve">32258-BLDG</t>
  </si>
  <si>
    <t xml:space="preserve">Past due and not in hand</t>
  </si>
  <si>
    <t xml:space="preserve">17206-ELEC</t>
  </si>
  <si>
    <t xml:space="preserve">Culpeper, VA</t>
  </si>
  <si>
    <t xml:space="preserve">Confirm town vs county, then file.</t>
  </si>
  <si>
    <t xml:space="preserve">Due in the next 14 days</t>
  </si>
  <si>
    <t xml:space="preserve">30479-ELEC</t>
  </si>
  <si>
    <t xml:space="preserve">Fairfax County, VA</t>
  </si>
  <si>
    <t xml:space="preserve">Confirm jurisdiction, then file.</t>
  </si>
  <si>
    <t xml:space="preserve">Electrical not yet pulled - extras still Unknown</t>
  </si>
  <si>
    <t xml:space="preserve">33962-ELEC</t>
  </si>
  <si>
    <t xml:space="preserve">Calvert County, MD</t>
  </si>
  <si>
    <t xml:space="preserve">Find out why it was rejected before resubmitting.</t>
  </si>
  <si>
    <t xml:space="preserve">FIX ME: electrical in hand but still says Unknown</t>
  </si>
  <si>
    <t xml:space="preserve">33599-ELEC</t>
  </si>
  <si>
    <t xml:space="preserve">Work date from 7-Eleven.</t>
  </si>
  <si>
    <t xml:space="preserve">Electrical permits (Hash pulls)</t>
  </si>
  <si>
    <t xml:space="preserve">33714-ELEC</t>
  </si>
  <si>
    <t xml:space="preserve">City of Manassas Park, VA</t>
  </si>
  <si>
    <t xml:space="preserve">File with the city, not the county.</t>
  </si>
  <si>
    <t xml:space="preserve">Building + Mechanical permits (RPS pulls)</t>
  </si>
  <si>
    <t xml:space="preserve">36798-ELEC</t>
  </si>
  <si>
    <t xml:space="preserve">Loudoun County, VA</t>
  </si>
  <si>
    <t xml:space="preserve">Confirm Loudoun vs Fairfax.</t>
  </si>
  <si>
    <t xml:space="preserve">No work date set yet</t>
  </si>
  <si>
    <t xml:space="preserve">33701-ELEC</t>
  </si>
  <si>
    <t xml:space="preserve">Stafford County, VA</t>
  </si>
  <si>
    <t xml:space="preserve">Work date, then submit.</t>
  </si>
  <si>
    <t xml:space="preserve">18245-ELEC</t>
  </si>
  <si>
    <t xml:space="preserve">Shenandoah County, VA</t>
  </si>
  <si>
    <t xml:space="preserve">OPEN ITEMS ON THE 7/28 DRAWING SET (11 SITES)</t>
  </si>
  <si>
    <t xml:space="preserve">45967-ELEC</t>
  </si>
  <si>
    <t xml:space="preserve">City of Harrisonburg, VA</t>
  </si>
  <si>
    <t xml:space="preserve">Drawing final. Confirm Hash holds a City of Harrisonburg business license, then file.</t>
  </si>
  <si>
    <t xml:space="preserve">Page 3 General Note 1 on all eleven names Gilbarco Encore 300 as the existing unit. That belongs to 34022 only. Replace it with the generic swap note on the other ten.</t>
  </si>
  <si>
    <t xml:space="preserve">24603-ELEC</t>
  </si>
  <si>
    <t xml:space="preserve">Henrico County, VA</t>
  </si>
  <si>
    <t xml:space="preserve">E.C. Livingston signature, then Erin Zust pulls it.</t>
  </si>
  <si>
    <t xml:space="preserve">All eleven still carry 34022 data under the artwork. Only 24603 got the pixel rebuild. Rebuild before any portal upload.</t>
  </si>
  <si>
    <t xml:space="preserve">24603-MECH</t>
  </si>
  <si>
    <t xml:space="preserve">RPS has not started the mechanical permit.</t>
  </si>
  <si>
    <t xml:space="preserve">The 7/28 session said "four sites have diesel" but listed only three: 32258, 17206, 36798. If there is a fourth, its drawing says 3+0 and is wrong.</t>
  </si>
  <si>
    <t xml:space="preserve">HM-6-ELEC</t>
  </si>
  <si>
    <t xml:space="preserve">City of Winchester, VA</t>
  </si>
  <si>
    <t xml:space="preserve">Value of construction and date, then upload to OpenGov.</t>
  </si>
  <si>
    <t xml:space="preserve">Files: Mac Studio &gt; Permitting Apps &gt; [site] Permit Docs, plus a combined Hash Dispenser Replacement Permit docs folder.</t>
  </si>
  <si>
    <t xml:space="preserve">Site #</t>
  </si>
  <si>
    <t xml:space="preserve">Site Name</t>
  </si>
  <si>
    <t xml:space="preserve">Address</t>
  </si>
  <si>
    <t xml:space="preserve">City</t>
  </si>
  <si>
    <t xml:space="preserve">State</t>
  </si>
  <si>
    <t xml:space="preserve">Project Type</t>
  </si>
  <si>
    <t xml:space="preserve">Request Type</t>
  </si>
  <si>
    <t xml:space="preserve">Permit Type</t>
  </si>
  <si>
    <t xml:space="preserve">Requirement</t>
  </si>
  <si>
    <t xml:space="preserve">Other Permits Required</t>
  </si>
  <si>
    <t xml:space="preserve">Scheduled Work Date</t>
  </si>
  <si>
    <t xml:space="preserve">Permit Due Date</t>
  </si>
  <si>
    <t xml:space="preserve">Days Until Due</t>
  </si>
  <si>
    <t xml:space="preserve">Hash Confirmed</t>
  </si>
  <si>
    <t xml:space="preserve">Submitted to Jurisdiction</t>
  </si>
  <si>
    <t xml:space="preserve">Permit #</t>
  </si>
  <si>
    <t xml:space="preserve">Fee</t>
  </si>
  <si>
    <t xml:space="preserve">Date Issued</t>
  </si>
  <si>
    <t xml:space="preserve">Inspection Date</t>
  </si>
  <si>
    <t xml:space="preserve">Date Complete</t>
  </si>
  <si>
    <t xml:space="preserve">Notes</t>
  </si>
  <si>
    <t xml:space="preserve">33955-ELEC</t>
  </si>
  <si>
    <t xml:space="preserve">33955</t>
  </si>
  <si>
    <t xml:space="preserve">7-Eleven #33955</t>
  </si>
  <si>
    <t xml:space="preserve">7489 Limestone Drive</t>
  </si>
  <si>
    <t xml:space="preserve">Gainesville</t>
  </si>
  <si>
    <t xml:space="preserve">VA</t>
  </si>
  <si>
    <t xml:space="preserve">Dispenser Replacement</t>
  </si>
  <si>
    <t xml:space="preserve">Non-PE Stamped</t>
  </si>
  <si>
    <t xml:space="preserve">Electrical</t>
  </si>
  <si>
    <t xml:space="preserve">Hash Construction</t>
  </si>
  <si>
    <t xml:space="preserve">Required</t>
  </si>
  <si>
    <t xml:space="preserve">None - confirmed at pull</t>
  </si>
  <si>
    <t xml:space="preserve">Permit in hand, VA electricians confirmed. Work date 7/14 has passed - confirm the work and inspection are done and move this to Complete.</t>
  </si>
  <si>
    <t xml:space="preserve">29104-ELEC</t>
  </si>
  <si>
    <t xml:space="preserve">29104</t>
  </si>
  <si>
    <t xml:space="preserve">7-Eleven #29104</t>
  </si>
  <si>
    <t xml:space="preserve">11007 Nokesville Road</t>
  </si>
  <si>
    <t xml:space="preserve">Manassas</t>
  </si>
  <si>
    <t xml:space="preserve">Permit in hand, VA electricians confirmed. Work date 7/16 has passed - confirm the work and inspection are done and move this to Complete.</t>
  </si>
  <si>
    <t xml:space="preserve">26941-ELEC</t>
  </si>
  <si>
    <t xml:space="preserve">26941</t>
  </si>
  <si>
    <t xml:space="preserve">7-Eleven #26941</t>
  </si>
  <si>
    <t xml:space="preserve">15621 Jefferson Davis Highway</t>
  </si>
  <si>
    <t xml:space="preserve">Woodbridge</t>
  </si>
  <si>
    <t xml:space="preserve">Permit in hand, VA electricians confirmed. Work date 7/22 has passed - confirm the work and inspection are done and move this to Complete.</t>
  </si>
  <si>
    <t xml:space="preserve">30484-ELEC</t>
  </si>
  <si>
    <t xml:space="preserve">30484</t>
  </si>
  <si>
    <t xml:space="preserve">7-Eleven #30484</t>
  </si>
  <si>
    <t xml:space="preserve">17105 Old Stage Road</t>
  </si>
  <si>
    <t xml:space="preserve">Dumfries</t>
  </si>
  <si>
    <t xml:space="preserve">Permit in hand. Waiting for electricians to confirm. Work date 7/28 has passed - confirm status.</t>
  </si>
  <si>
    <t xml:space="preserve">32223-ELEC</t>
  </si>
  <si>
    <t xml:space="preserve">32223</t>
  </si>
  <si>
    <t xml:space="preserve">7-Eleven #32223</t>
  </si>
  <si>
    <t xml:space="preserve">6865 Wellington Rd</t>
  </si>
  <si>
    <t xml:space="preserve">Permit in hand. Waiting for electricians to confirm. Work date 7/30 has passed - confirm status.</t>
  </si>
  <si>
    <t xml:space="preserve">28960-ELEC</t>
  </si>
  <si>
    <t xml:space="preserve">28960</t>
  </si>
  <si>
    <t xml:space="preserve">7-Eleven #28960</t>
  </si>
  <si>
    <t xml:space="preserve">11108 Angleberger Rd</t>
  </si>
  <si>
    <t xml:space="preserve">Thurmont</t>
  </si>
  <si>
    <t xml:space="preserve">MD</t>
  </si>
  <si>
    <t xml:space="preserve">Frederick County, MD</t>
  </si>
  <si>
    <t xml:space="preserve">Permit in hand. Schedule with the canopy replacement per Paul Encinas. Work date 9/15.</t>
  </si>
  <si>
    <t xml:space="preserve">32976</t>
  </si>
  <si>
    <t xml:space="preserve">7-Eleven #32976</t>
  </si>
  <si>
    <t xml:space="preserve">10438 Dumfries Road</t>
  </si>
  <si>
    <t xml:space="preserve">Unknown - pending Hash</t>
  </si>
  <si>
    <t xml:space="preserve">MUL conversion, not a standard swap. Drawing built 7/28. USG permit status never confirmed - raised 7/28, still open. Work is 8/13 and the due date passed 27 days ago.</t>
  </si>
  <si>
    <t xml:space="preserve">34688</t>
  </si>
  <si>
    <t xml:space="preserve">7-Eleven #34688</t>
  </si>
  <si>
    <t xml:space="preserve">809 N Mildred Street</t>
  </si>
  <si>
    <t xml:space="preserve">Ranson</t>
  </si>
  <si>
    <t xml:space="preserve">WV</t>
  </si>
  <si>
    <t xml:space="preserve">Ranson / Jefferson County, WV</t>
  </si>
  <si>
    <t xml:space="preserve">WV site. Hash Class A 2705048270 is a VIRGINIA license and does not cover West Virginia. Confirm Hash can legally pull here and whether Ranson or Jefferson County issues it. Work is 8/20.</t>
  </si>
  <si>
    <t xml:space="preserve">34022</t>
  </si>
  <si>
    <t xml:space="preserve">7-Eleven #34022</t>
  </si>
  <si>
    <t xml:space="preserve">251 Crooked Run Plaza</t>
  </si>
  <si>
    <t xml:space="preserve">Front Royal</t>
  </si>
  <si>
    <t xml:space="preserve">Building - CONFIRMED</t>
  </si>
  <si>
    <t xml:space="preserve">Application filled and flattened. MDIA form required. Email to inspections@warrencountyva.gov.</t>
  </si>
  <si>
    <t xml:space="preserve">Building</t>
  </si>
  <si>
    <t xml:space="preserve">Warren County requires a building permit on this one. RPS pulls it. Not started.</t>
  </si>
  <si>
    <t xml:space="preserve">23689</t>
  </si>
  <si>
    <t xml:space="preserve">7-Eleven #23689</t>
  </si>
  <si>
    <t xml:space="preserve">2701 W Franklin St</t>
  </si>
  <si>
    <t xml:space="preserve">Baltimore</t>
  </si>
  <si>
    <t xml:space="preserve">No drawing built. Proof of ownership outstanding - deed submitted 3/13 and still not cleared. Baltimore City, not Baltimore County.</t>
  </si>
  <si>
    <t xml:space="preserve">32258</t>
  </si>
  <si>
    <t xml:space="preserve">7-Eleven #32258</t>
  </si>
  <si>
    <t xml:space="preserve">711 S. Royal Ave</t>
  </si>
  <si>
    <t xml:space="preserve">Application filled and flattened. Prioritize per David Arnette 6/30/26. Waiting on owner signature for zoning. MDIA form required.</t>
  </si>
  <si>
    <t xml:space="preserve">17206</t>
  </si>
  <si>
    <t xml:space="preserve">7-Eleven #17206</t>
  </si>
  <si>
    <t xml:space="preserve">520 James Madison Highway</t>
  </si>
  <si>
    <t xml:space="preserve">Culpeper</t>
  </si>
  <si>
    <t xml:space="preserve">Culpeper County, VA</t>
  </si>
  <si>
    <t xml:space="preserve">Drawing built 7/28, 3+1 diesel. Confirm Town of Culpeper vs Culpeper County before filing.</t>
  </si>
  <si>
    <t xml:space="preserve">30479</t>
  </si>
  <si>
    <t xml:space="preserve">7-Eleven #30479</t>
  </si>
  <si>
    <t xml:space="preserve">6221 Rolling Road</t>
  </si>
  <si>
    <t xml:space="preserve">Springfield</t>
  </si>
  <si>
    <t xml:space="preserve">Drawing built 7/28, 3+0.</t>
  </si>
  <si>
    <t xml:space="preserve">33962</t>
  </si>
  <si>
    <t xml:space="preserve">7-Eleven #33962</t>
  </si>
  <si>
    <t xml:space="preserve">3675 Hallowing Point Road</t>
  </si>
  <si>
    <t xml:space="preserve">Prince Frederick</t>
  </si>
  <si>
    <t xml:space="preserve">None - building not required</t>
  </si>
  <si>
    <t xml:space="preserve">No building permit needed, already confirmed. Electrical was rejected and must be resubmitted - find out why before resending the same package. No drawing built.</t>
  </si>
  <si>
    <t xml:space="preserve">33599</t>
  </si>
  <si>
    <t xml:space="preserve">7-Eleven #33599</t>
  </si>
  <si>
    <t xml:space="preserve">14533 Lee Rd</t>
  </si>
  <si>
    <t xml:space="preserve">Chantilly</t>
  </si>
  <si>
    <t xml:space="preserve">33714</t>
  </si>
  <si>
    <t xml:space="preserve">7-Eleven #33714</t>
  </si>
  <si>
    <t xml:space="preserve">101 Kent Village Square</t>
  </si>
  <si>
    <t xml:space="preserve">Manassas Park</t>
  </si>
  <si>
    <t xml:space="preserve">Drawing built 7/28, 3+0. Independent city - files with Manassas Park, not Prince William County.</t>
  </si>
  <si>
    <t xml:space="preserve">36798</t>
  </si>
  <si>
    <t xml:space="preserve">7-Eleven #36798</t>
  </si>
  <si>
    <t xml:space="preserve">25140 Loudoun County Pkwy</t>
  </si>
  <si>
    <t xml:space="preserve">Drawing built 7/28, 3+1 diesel. Confirm Loudoun vs Fairfax. Inform Paul Encinas upon completion.</t>
  </si>
  <si>
    <t xml:space="preserve">33701</t>
  </si>
  <si>
    <t xml:space="preserve">7-Eleven #33701</t>
  </si>
  <si>
    <t xml:space="preserve">2998 Jefferson Davis Highway</t>
  </si>
  <si>
    <t xml:space="preserve">Stafford</t>
  </si>
  <si>
    <t xml:space="preserve">Application filled and flattened. Stafford form: Tenant = SAME AS OWNER, Applicant = SAME AS CONTRACTOR.</t>
  </si>
  <si>
    <t xml:space="preserve">18245</t>
  </si>
  <si>
    <t xml:space="preserve">7-Eleven #18245</t>
  </si>
  <si>
    <t xml:space="preserve">285 W. Old Cross Rd</t>
  </si>
  <si>
    <t xml:space="preserve">New Market</t>
  </si>
  <si>
    <t xml:space="preserve">Application filled and flattened. One combined Shenandoah form covers all trades.</t>
  </si>
  <si>
    <t xml:space="preserve">45967</t>
  </si>
  <si>
    <t xml:space="preserve">Speedway #45967</t>
  </si>
  <si>
    <t xml:space="preserve">1437 S Main St</t>
  </si>
  <si>
    <t xml:space="preserve">Harrisonburg</t>
  </si>
  <si>
    <t xml:space="preserve">Drawing FINAL 8/12 - this is the new master form for dispenser drawings. Speedway brand, but 7-Eleven owns Speedway, so the owner block is the standard 7-Eleven Dallas block. Replace (6), RUL/PUL/DSL so 3+1. Harrisonburg is an independent city, NOT Rockingham County. City wants the state Class A AND a City of Harrisonburg business license number. Electrical in before 3:00 PM is usually issued same day.</t>
  </si>
  <si>
    <t xml:space="preserve">24603</t>
  </si>
  <si>
    <t xml:space="preserve">7-Eleven #24603</t>
  </si>
  <si>
    <t xml:space="preserve">2111 Hilliard Rd</t>
  </si>
  <si>
    <t xml:space="preserve">Henrico</t>
  </si>
  <si>
    <t xml:space="preserve">Mechanical - CONFIRMED</t>
  </si>
  <si>
    <t xml:space="preserve">Drawing complete, Hash block, zero instances of the word new. Waiting on E.C. Livingston signature and date, then Erin Zust pulls it.</t>
  </si>
  <si>
    <t xml:space="preserve">Mechanical</t>
  </si>
  <si>
    <t xml:space="preserve">Henrico requires a mechanical permit on this one. RPS pulls it. Not started.</t>
  </si>
  <si>
    <t xml:space="preserve">HM-6</t>
  </si>
  <si>
    <t xml:space="preserve">Handy Mart #6</t>
  </si>
  <si>
    <t xml:space="preserve">2605 Valley Ave</t>
  </si>
  <si>
    <t xml:space="preserve">Winchester</t>
  </si>
  <si>
    <t xml:space="preserve">STP Circuit Repair</t>
  </si>
  <si>
    <t xml:space="preserve">STP branch circuit repair, not a dispenser swap. Owner is H.N. Funkhouser &amp; Co., PO Box 2038, Winchester VA 22604. Value of construction and date still blank. Upload to winchesterva.portal.opengov.com.</t>
  </si>
  <si>
    <t xml:space="preserve">HOW A PERMIT MOVES</t>
  </si>
  <si>
    <t xml:space="preserve">Step 1 — Request type</t>
  </si>
  <si>
    <t xml:space="preserve">Decide if the job needs PE stamped plans. Almost everything we do is Non-PE Stamped. When stamped plans are required, an engineering firm usually pulls the permit and we track it here anyway.</t>
  </si>
  <si>
    <t xml:space="preserve">Step 2 — Electrical first</t>
  </si>
  <si>
    <t xml:space="preserve">Every dispenser replacement starts with Hash pulling the electrical permit. Nothing else is assumed at this point.</t>
  </si>
  <si>
    <t xml:space="preserve">Step 3 — Discovery</t>
  </si>
  <si>
    <t xml:space="preserve">We find out what else the jurisdiction wants when Hash tries to pull. Some want a building permit too. Some want a mechanical. Some want neither. Until Hash reports back, the Other Permits Required column stays Unknown.</t>
  </si>
  <si>
    <t xml:space="preserve">Step 3a — The shortcut</t>
  </si>
  <si>
    <t xml:space="preserve">If the electrical permit is already in hand, nothing else is needed. Full stop. The jurisdiction would have said so at the counter. Any electrical sitting at Permit In-Hand or later gets Other Permits Required set to None - confirmed at pull, and no building or mechanical row is created.</t>
  </si>
  <si>
    <t xml:space="preserve">Step 4 — Split it out</t>
  </si>
  <si>
    <t xml:space="preserve">The moment a building or mechanical permit is confirmed, add its own row. One row per permit, never two permits on one line. RPS pulls building and mechanical. Hash pulls electrical.</t>
  </si>
  <si>
    <t xml:space="preserve">Step 5 — Work the ladder</t>
  </si>
  <si>
    <t xml:space="preserve">Each permit row moves through the status ladder below on its own. A site is not ready to work until every required permit says Permit In-Hand.</t>
  </si>
  <si>
    <t xml:space="preserve">STATUS LADDER</t>
  </si>
  <si>
    <t xml:space="preserve">Nothing sent yet.</t>
  </si>
  <si>
    <t xml:space="preserve">We handed the package to Hash. Hash-pulled permits only. For an RPS-pulled building or mechanical, skip to Submitted to Jurisdiction.</t>
  </si>
  <si>
    <t xml:space="preserve">Hash confirmed they actually filed it with the jurisdiction. Do not mark this off an assumption - get the confirmation.</t>
  </si>
  <si>
    <t xml:space="preserve">The jurisdiction has it and is reviewing.</t>
  </si>
  <si>
    <t xml:space="preserve">Permit issued and in our possession. This is the only status that clears a site to work.</t>
  </si>
  <si>
    <t xml:space="preserve">Work done or scheduled and the inspection is on the calendar.</t>
  </si>
  <si>
    <t xml:space="preserve">Inspection passed and the permit is closed out.</t>
  </si>
  <si>
    <t xml:space="preserve">Blocked by something outside the jurisdiction, like a missing owner signature or proof of ownership.</t>
  </si>
  <si>
    <t xml:space="preserve">Kicked back. Record why in Notes before resubmitting.</t>
  </si>
  <si>
    <t xml:space="preserve">WHO PULLS WHAT</t>
  </si>
  <si>
    <t xml:space="preserve">Hash Construction, Inc. Always. VA license 2705048270 Class A, exp 03/31/2027. Virginia only - it does not cover Maryland or West Virginia.</t>
  </si>
  <si>
    <t xml:space="preserve">RPS. License 2705096729 Class A, exp 01/31/2027.</t>
  </si>
  <si>
    <t xml:space="preserve">RPS. Same license.</t>
  </si>
  <si>
    <t xml:space="preserve">PE Stamped jobs</t>
  </si>
  <si>
    <t xml:space="preserve">Usually the engineering firm pulls it. Track it here regardless so the site status is complete.</t>
  </si>
  <si>
    <t xml:space="preserve">Department</t>
  </si>
  <si>
    <t xml:space="preserve">Contact Name</t>
  </si>
  <si>
    <t xml:space="preserve">Direct Phone</t>
  </si>
  <si>
    <t xml:space="preserve">Email</t>
  </si>
  <si>
    <t xml:space="preserve">Portal / Submittal Method</t>
  </si>
  <si>
    <t xml:space="preserve">Turnaround</t>
  </si>
  <si>
    <t xml:space="preserve">Fee Notes</t>
  </si>
  <si>
    <t xml:space="preserve">Cheat Sheet Notes</t>
  </si>
  <si>
    <t xml:space="preserve">Warren County</t>
  </si>
  <si>
    <t xml:space="preserve">Building Inspections</t>
  </si>
  <si>
    <t xml:space="preserve">(540) 636-9973</t>
  </si>
  <si>
    <t xml:space="preserve">inspections@warrencountyva.gov</t>
  </si>
  <si>
    <t xml:space="preserve">Digital submission by email</t>
  </si>
  <si>
    <t xml:space="preserve">MDIA form required with every electrical permit. BUILDING PERMIT ALSO REQUIRED on 32258 and 34022 - RPS pulls those.</t>
  </si>
  <si>
    <t xml:space="preserve">Henrico County</t>
  </si>
  <si>
    <t xml:space="preserve">Building Construction &amp; Inspections</t>
  </si>
  <si>
    <t xml:space="preserve">(804) 501-4360</t>
  </si>
  <si>
    <t xml:space="preserve">Inspections (804) 629-9782. MECHANICAL PERMIT ALSO REQUIRED on 24603 - RPS pulls it.</t>
  </si>
  <si>
    <t xml:space="preserve">City of Harrisonburg</t>
  </si>
  <si>
    <t xml:space="preserve">Community Development - Building Inspections, 409 S Main St 2nd Floor</t>
  </si>
  <si>
    <t xml:space="preserve">(540) 432-7700</t>
  </si>
  <si>
    <t xml:space="preserve">permits@harrisonburgva.gov</t>
  </si>
  <si>
    <t xml:space="preserve">LAMA Permit Portal, email, or in person</t>
  </si>
  <si>
    <t xml:space="preserve">Electrical before 3 PM usually same day</t>
  </si>
  <si>
    <t xml:space="preserve">Based on total value of electrical work. Check payable to City of Harrisonburg.</t>
  </si>
  <si>
    <t xml:space="preserve">Independent city, NOT Rockingham County. Contractor must supply state Class A/B/C AND a City of Harrisonburg business license number. Portal needs a contractor registration code - call to get one.</t>
  </si>
  <si>
    <t xml:space="preserve">City of Winchester</t>
  </si>
  <si>
    <t xml:space="preserve">Building / Zoning, Rouss City Hall</t>
  </si>
  <si>
    <t xml:space="preserve">Tom Mayhew; Richie Fletcher</t>
  </si>
  <si>
    <t xml:space="preserve">(540) 667-1815</t>
  </si>
  <si>
    <t xml:space="preserve">winchesterva.portal.opengov.com</t>
  </si>
  <si>
    <t xml:space="preserve">City, not Frederick County. No downloadable form - upload our own written application. MDIA (540-667-8484) is inspections only.</t>
  </si>
  <si>
    <t xml:space="preserve">Stafford County</t>
  </si>
  <si>
    <t xml:space="preserve">Public Works / Building Division</t>
  </si>
  <si>
    <t xml:space="preserve">(540) 658-8650</t>
  </si>
  <si>
    <t xml:space="preserve">Tenant = SAME AS OWNER, Applicant = SAME AS CONTRACTOR.</t>
  </si>
  <si>
    <t xml:space="preserve">Shenandoah County</t>
  </si>
  <si>
    <t xml:space="preserve">Community Development</t>
  </si>
  <si>
    <t xml:space="preserve">(540) 459-6185</t>
  </si>
  <si>
    <t xml:space="preserve">One combined application form covers all trades.</t>
  </si>
  <si>
    <t xml:space="preserve">Prince William County</t>
  </si>
  <si>
    <t xml:space="preserve">Development Services / Building Development</t>
  </si>
  <si>
    <t xml:space="preserve">32976 is a MUL conversion. USG permit status unconfirmed.</t>
  </si>
  <si>
    <t xml:space="preserve">Loudoun County</t>
  </si>
  <si>
    <t xml:space="preserve">Planning</t>
  </si>
  <si>
    <t xml:space="preserve">Alex Wilkinson</t>
  </si>
  <si>
    <t xml:space="preserve">(703) 771-5353</t>
  </si>
  <si>
    <t xml:space="preserve">Alex.Wilkinson@Loudoun.gov</t>
  </si>
  <si>
    <t xml:space="preserve">Confirm whether 36798 falls in Loudoun or Fairfax.</t>
  </si>
  <si>
    <t xml:space="preserve">Fairfax County</t>
  </si>
  <si>
    <t xml:space="preserve">Land Development Services</t>
  </si>
  <si>
    <t xml:space="preserve">NEEDS RESEARCH - covers 30479 and 33599.</t>
  </si>
  <si>
    <t xml:space="preserve">City of Manassas Park</t>
  </si>
  <si>
    <t xml:space="preserve">Building Official</t>
  </si>
  <si>
    <t xml:space="preserve">NEEDS RESEARCH - independent city, files separately from Prince William.</t>
  </si>
  <si>
    <t xml:space="preserve">Culpeper (town vs county)</t>
  </si>
  <si>
    <t xml:space="preserve">NEEDS RESEARCH - confirm which office covers 520 James Madison Hwy.</t>
  </si>
  <si>
    <t xml:space="preserve">Baltimore City</t>
  </si>
  <si>
    <t xml:space="preserve">Dept of Housing &amp; Community Development</t>
  </si>
  <si>
    <t xml:space="preserve">NEEDS RESEARCH - proof of ownership outstanding for 23689.</t>
  </si>
  <si>
    <t xml:space="preserve">Calvert County</t>
  </si>
  <si>
    <t xml:space="preserve">Inspections &amp; Permits</t>
  </si>
  <si>
    <t xml:space="preserve">NEEDS RESEARCH - building confirmed not required. Electrical rejected, must resubmit.</t>
  </si>
  <si>
    <t xml:space="preserve">Ranson / Jefferson County</t>
  </si>
  <si>
    <t xml:space="preserve">NEEDS RESEARCH - confirm issuing office and whether Hash holds a WV license.</t>
  </si>
  <si>
    <t xml:space="preserve">Rockingham County</t>
  </si>
  <si>
    <t xml:space="preserve">Development Center</t>
  </si>
  <si>
    <t xml:space="preserve">(540) 437-2354</t>
  </si>
  <si>
    <t xml:space="preserve">Does NOT cover Harrisonburg addresses. Harrisonburg is an independent city.</t>
  </si>
  <si>
    <t xml:space="preserve">MDIA (third-party inspections)</t>
  </si>
  <si>
    <t xml:space="preserve">3078 Shawnee Dr Ste A, Winchester VA 22601</t>
  </si>
  <si>
    <t xml:space="preserve">(540) 667-8484</t>
  </si>
  <si>
    <t xml:space="preserve">Inspection agency only. Does not issue permits.</t>
  </si>
  <si>
    <t xml:space="preserve">Date</t>
  </si>
  <si>
    <t xml:space="preserve">Deliverable</t>
  </si>
  <si>
    <t xml:space="preserve">File Name</t>
  </si>
  <si>
    <t xml:space="preserve">Where It Lives</t>
  </si>
  <si>
    <t xml:space="preserve">Open Items</t>
  </si>
  <si>
    <t xml:space="preserve">Dispenser electrical drawing</t>
  </si>
  <si>
    <t xml:space="preserve">32976 dispenser electrical drawing.pdf</t>
  </si>
  <si>
    <t xml:space="preserve">Mac Studio &gt; Permitting Apps &gt; [site] Permit Docs</t>
  </si>
  <si>
    <t xml:space="preserve">3+0. FIX: page 3 General Note 1 carries 34022 Encore 300 wording. Replace with the generic swap note. 34022 residue in artwork.</t>
  </si>
  <si>
    <t xml:space="preserve">34688 dispenser electrical drawing.pdf</t>
  </si>
  <si>
    <t xml:space="preserve">34022 dispenser electrical drawing.pdf</t>
  </si>
  <si>
    <t xml:space="preserve">32258 dispenser electrical drawing.pdf</t>
  </si>
  <si>
    <t xml:space="preserve">3+1 DSL. FIX: page 3 General Note 1 carries 34022 Encore 300 wording. Replace with the generic swap note. 34022 residue in artwork.</t>
  </si>
  <si>
    <t xml:space="preserve">17206 dispenser electrical drawing.pdf</t>
  </si>
  <si>
    <t xml:space="preserve">30479 dispenser electrical drawing.pdf</t>
  </si>
  <si>
    <t xml:space="preserve">33599 dispenser electrical drawing.pdf</t>
  </si>
  <si>
    <t xml:space="preserve">33714 dispenser electrical drawing.pdf</t>
  </si>
  <si>
    <t xml:space="preserve">36798 dispenser electrical drawing.pdf</t>
  </si>
  <si>
    <t xml:space="preserve">33701 dispenser electrical drawing.pdf</t>
  </si>
  <si>
    <t xml:space="preserve">18245 dispenser electrical drawing.pdf</t>
  </si>
  <si>
    <t xml:space="preserve">ALL</t>
  </si>
  <si>
    <t xml:space="preserve">Drawing template rules</t>
  </si>
  <si>
    <t xml:space="preserve">Dispenser electrical drawing template.md</t>
  </si>
  <si>
    <t xml:space="preserve">Project knowledge</t>
  </si>
  <si>
    <t xml:space="preserve">24603_Dispenser_Electrical_Drawing.pdf</t>
  </si>
  <si>
    <t xml:space="preserve">Chat download</t>
  </si>
  <si>
    <t xml:space="preserve">Hash block. Zero instances of the word new. Artwork rebuilt clean. Needs E.C. Livingston signature and date.</t>
  </si>
  <si>
    <t xml:space="preserve">-</t>
  </si>
  <si>
    <t xml:space="preserve">Contact directory</t>
  </si>
  <si>
    <t xml:space="preserve">RPS_Contact_Directory.xlsx</t>
  </si>
  <si>
    <t xml:space="preserve">Re-upload to look up contacts. Raw vcf not stored.</t>
  </si>
  <si>
    <t xml:space="preserve">Scope narrative + 1-page application</t>
  </si>
  <si>
    <t xml:space="preserve">HandyMart6 scope + application PDFs</t>
  </si>
  <si>
    <t xml:space="preserve">Value of construction and date still blank.</t>
  </si>
  <si>
    <t xml:space="preserve">Dispenser replacement drawing - FINAL</t>
  </si>
  <si>
    <t xml:space="preserve">45967_Dispenser_Replacement_Drawing.pdf</t>
  </si>
  <si>
    <t xml:space="preserve">MASTER FORM for all future dispenser drawings. All 3 pages rebuilt clean vector. 3+1. Generic General Note 1 - no existing model named. Zip added to page 1. Zero residue: no B05, no Encore 300, no 34022, no 24603, no Starsky/Dodson, no signature line, no instance of the word new.</t>
  </si>
  <si>
    <t xml:space="preserve">Permit tracker v2</t>
  </si>
  <si>
    <t xml:space="preserve">RPS_Permit_Tracker.xlsx</t>
  </si>
  <si>
    <t xml:space="preserve">Upload to project knowledge</t>
  </si>
  <si>
    <t xml:space="preserve">Source of truth. Upload the current copy at the start of every permitting chat.</t>
  </si>
  <si>
    <t xml:space="preserve">STANDARD PARTIES — USE ON EVERY APPLICATION</t>
  </si>
  <si>
    <t xml:space="preserve">OWNER (every 7-Eleven permit)</t>
  </si>
  <si>
    <t xml:space="preserve">Company</t>
  </si>
  <si>
    <t xml:space="preserve">7-Eleven, Inc.</t>
  </si>
  <si>
    <t xml:space="preserve">Attn</t>
  </si>
  <si>
    <t xml:space="preserve">David Arnette</t>
  </si>
  <si>
    <t xml:space="preserve">PO Box 711, Dallas, TX 75221-0711</t>
  </si>
  <si>
    <t xml:space="preserve">Phone</t>
  </si>
  <si>
    <t xml:space="preserve">(757) 506-9329</t>
  </si>
  <si>
    <t xml:space="preserve">david.arnette@7-11.com</t>
  </si>
  <si>
    <t xml:space="preserve">Rule</t>
  </si>
  <si>
    <t xml:space="preserve">Always the Dallas PO Box. Never the job site address.</t>
  </si>
  <si>
    <t xml:space="preserve">Speedway sites</t>
  </si>
  <si>
    <t xml:space="preserve">7-Eleven purchased Speedway, so Speedway sites use this exact same owner block. Site 45967 included.</t>
  </si>
  <si>
    <t xml:space="preserve">Other brands</t>
  </si>
  <si>
    <t xml:space="preserve">Handy Mart #6 is H.N. Funkhouser &amp; Co., PO Box 2038, Winchester VA 22604. That is the only job on the board with a different owner.</t>
  </si>
  <si>
    <t xml:space="preserve">RPS — BUILDING AND MECHANICAL PERMITS</t>
  </si>
  <si>
    <t xml:space="preserve">Rappahannock Petroleum LLC</t>
  </si>
  <si>
    <t xml:space="preserve">Starsky Dodson</t>
  </si>
  <si>
    <t xml:space="preserve">225 Ritter Rd, Winchester, VA 22602</t>
  </si>
  <si>
    <t xml:space="preserve">(540) 869-5033</t>
  </si>
  <si>
    <t xml:space="preserve">Fax</t>
  </si>
  <si>
    <t xml:space="preserve">(540) 869-5406</t>
  </si>
  <si>
    <t xml:space="preserve">License #</t>
  </si>
  <si>
    <t xml:space="preserve">2705096729, Class A</t>
  </si>
  <si>
    <t xml:space="preserve">License Exp</t>
  </si>
  <si>
    <t xml:space="preserve">01/31/2027</t>
  </si>
  <si>
    <t xml:space="preserve">Federal ID (EIN)</t>
  </si>
  <si>
    <t xml:space="preserve">202347099</t>
  </si>
  <si>
    <t xml:space="preserve">HASH — ELECTRICAL PERMITS</t>
  </si>
  <si>
    <t xml:space="preserve">Hash Construction, Inc.</t>
  </si>
  <si>
    <t xml:space="preserve">9290 W and W Industrial Rd, La Plata, MD 20646</t>
  </si>
  <si>
    <t xml:space="preserve">(301) 870-6195</t>
  </si>
  <si>
    <t xml:space="preserve">Permit Technician</t>
  </si>
  <si>
    <t xml:space="preserve">Erin Zust — erinzust@hashconstruction.com</t>
  </si>
  <si>
    <t xml:space="preserve">Signing Officer</t>
  </si>
  <si>
    <t xml:space="preserve">E.C. Livingston — eclivingston@hashconstruction.com, x123</t>
  </si>
  <si>
    <t xml:space="preserve">2705048270, Class A</t>
  </si>
  <si>
    <t xml:space="preserve">03/31/2027</t>
  </si>
  <si>
    <t xml:space="preserve">RPS does not appear on permits where Hash is the contractor of record.</t>
  </si>
  <si>
    <t xml:space="preserve">Watch</t>
  </si>
  <si>
    <t xml:space="preserve">That license is Virginia. It does not cover Maryland or West Virginia.</t>
  </si>
  <si>
    <t xml:space="preserve">DEFAULTS</t>
  </si>
  <si>
    <t xml:space="preserve">Non-PE Stamped unless the jurisdiction demands sealed plans.</t>
  </si>
  <si>
    <t xml:space="preserve">Work Type</t>
  </si>
  <si>
    <t xml:space="preserve">Renovation. Repair when it is a like-for-like fix.</t>
  </si>
  <si>
    <t xml:space="preserve">Use Group</t>
  </si>
  <si>
    <t xml:space="preserve">Mercantile (M). Never Business.</t>
  </si>
  <si>
    <t xml:space="preserve">Occupancy</t>
  </si>
  <si>
    <t xml:space="preserve">Convenience store with fuel sales.</t>
  </si>
  <si>
    <t xml:space="preserve">Scheduled work date minus 28 days. Two weeks is the hard floor.</t>
  </si>
  <si>
    <t xml:space="preserve">Job Site Format</t>
  </si>
  <si>
    <t xml:space="preserve">7-Eleven #[site number], [address], [city], ST zip</t>
  </si>
  <si>
    <t xml:space="preserve">State Fields</t>
  </si>
  <si>
    <t xml:space="preserve">Two-letter abbreviation always: VA, MD, TX.</t>
  </si>
  <si>
    <t xml:space="preserve">File Naming</t>
  </si>
  <si>
    <t xml:space="preserve">Filled permit filenames start with the site number.</t>
  </si>
  <si>
    <t xml:space="preserve">Seal-off Language</t>
  </si>
  <si>
    <t xml:space="preserve">"No work below the seal-off or shear valve" goes on dispenser replacement scopes ONLY. Never on STP, tank pad, trenching, or underground branch circuit scopes.</t>
  </si>
  <si>
    <t xml:space="preserve">Used Dispenser Drawings</t>
  </si>
  <si>
    <t xml:space="preserve">Zero instances of the word "new" anywhere in the document.</t>
  </si>
  <si>
    <t xml:space="preserve">Master Drawing Form</t>
  </si>
  <si>
    <t xml:space="preserve">45967_Dispenser_Replacement_Drawing.pdf (08/12/2026) is the current master form. Build every new dispenser drawing off that file, not off an older site drawing.</t>
  </si>
  <si>
    <t xml:space="preserve">Existing Model Wording</t>
  </si>
  <si>
    <t xml:space="preserve">Never carry an existing-dispenser model from one site drawing to another. Advantage B05 belongs to 24603 only. Encore 300 belongs to 34022 only. When the existing model is not confirmed, page 3 General Note 1 reads: "Like for like dispenser swap. Existing dispensers will be replaced with Gilbarco Encore 700 dispensers."</t>
  </si>
  <si>
    <t xml:space="preserve">Conduit Standard</t>
  </si>
  <si>
    <t xml:space="preserve">3x #12 THWN-2 in 3/4" conduit for a 1.5 HP STP (validated against stamped plans, project 17219).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</si>
</sst>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/dd/yyyy"/>
    <numFmt numFmtId="167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25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tr">
        <f aca="true">"Refreshed: "&amp;TEXT(TODAY(),"mm/dd/yyyy")</f>
        <v>Refreshed: 08/12/2026</v>
      </c>
    </row>
    <row r="6" customFormat="false" ht="15" hidden="false" customHeight="false" outlineLevel="0" collapsed="false">
      <c r="B6" s="3" t="s">
        <v>2</v>
      </c>
      <c r="E6" s="3" t="s">
        <v>3</v>
      </c>
    </row>
    <row r="7" customFormat="false" ht="15" hidden="false" customHeight="true" outlineLevel="0" collapsed="false">
      <c r="B7" s="2" t="s">
        <v>4</v>
      </c>
      <c r="C7" s="4" t="n">
        <f aca="false">COUNTIF(Permits!$M$2:$M$300,B7)</f>
        <v>9</v>
      </c>
      <c r="E7" s="5" t="s">
        <v>5</v>
      </c>
      <c r="F7" s="5"/>
      <c r="G7" s="5"/>
      <c r="H7" s="5"/>
      <c r="I7" s="5"/>
      <c r="J7" s="5"/>
    </row>
    <row r="8" customFormat="false" ht="15" hidden="false" customHeight="false" outlineLevel="0" collapsed="false">
      <c r="B8" s="2" t="s">
        <v>6</v>
      </c>
      <c r="C8" s="4" t="n">
        <f aca="false">COUNTIF(Permits!$M$2:$M$300,B8)</f>
        <v>0</v>
      </c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B9" s="2" t="s">
        <v>7</v>
      </c>
      <c r="C9" s="4" t="n">
        <f aca="false">COUNTIF(Permits!$M$2:$M$300,B9)</f>
        <v>0</v>
      </c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2" t="s">
        <v>8</v>
      </c>
      <c r="C10" s="4" t="n">
        <f aca="false">COUNTIF(Permits!$M$2:$M$300,B10)</f>
        <v>8</v>
      </c>
    </row>
    <row r="11" customFormat="false" ht="15" hidden="false" customHeight="false" outlineLevel="0" collapsed="false">
      <c r="B11" s="2" t="s">
        <v>9</v>
      </c>
      <c r="C11" s="6" t="n">
        <f aca="false">COUNTIF(Permits!$M$2:$M$300,B11)</f>
        <v>6</v>
      </c>
      <c r="E11" s="3" t="s">
        <v>10</v>
      </c>
    </row>
    <row r="12" customFormat="false" ht="15" hidden="false" customHeight="false" outlineLevel="0" collapsed="false">
      <c r="B12" s="2" t="s">
        <v>11</v>
      </c>
      <c r="C12" s="4" t="n">
        <f aca="false">COUNTIF(Permits!$M$2:$M$300,B12)</f>
        <v>0</v>
      </c>
      <c r="E12" s="7" t="s">
        <v>12</v>
      </c>
      <c r="F12" s="7" t="s">
        <v>13</v>
      </c>
      <c r="G12" s="7" t="s">
        <v>14</v>
      </c>
      <c r="H12" s="7" t="s">
        <v>15</v>
      </c>
      <c r="I12" s="7" t="s">
        <v>16</v>
      </c>
      <c r="J12" s="7" t="s">
        <v>17</v>
      </c>
    </row>
    <row r="13" customFormat="false" ht="27.75" hidden="false" customHeight="true" outlineLevel="0" collapsed="false">
      <c r="B13" s="2" t="s">
        <v>18</v>
      </c>
      <c r="C13" s="4" t="n">
        <f aca="false">COUNTIF(Permits!$M$2:$M$300,B13)</f>
        <v>0</v>
      </c>
      <c r="E13" s="4" t="s">
        <v>19</v>
      </c>
      <c r="F13" s="4" t="s">
        <v>20</v>
      </c>
      <c r="G13" s="4" t="s">
        <v>21</v>
      </c>
      <c r="H13" s="4" t="s">
        <v>8</v>
      </c>
      <c r="I13" s="8" t="n">
        <v>46247</v>
      </c>
      <c r="J13" s="9" t="s">
        <v>22</v>
      </c>
    </row>
    <row r="14" customFormat="false" ht="27.75" hidden="false" customHeight="true" outlineLevel="0" collapsed="false">
      <c r="B14" s="2" t="s">
        <v>23</v>
      </c>
      <c r="C14" s="4" t="n">
        <f aca="false">COUNTIF(Permits!$M$2:$M$300,B14)</f>
        <v>1</v>
      </c>
      <c r="E14" s="4" t="s">
        <v>24</v>
      </c>
      <c r="F14" s="4" t="s">
        <v>25</v>
      </c>
      <c r="G14" s="4" t="s">
        <v>21</v>
      </c>
      <c r="H14" s="4" t="s">
        <v>4</v>
      </c>
      <c r="I14" s="8" t="n">
        <v>46254</v>
      </c>
      <c r="J14" s="9" t="s">
        <v>26</v>
      </c>
    </row>
    <row r="15" customFormat="false" ht="27.75" hidden="false" customHeight="true" outlineLevel="0" collapsed="false">
      <c r="B15" s="2" t="s">
        <v>27</v>
      </c>
      <c r="C15" s="4" t="n">
        <f aca="false">COUNTIF(Permits!$M$2:$M$300,B15)</f>
        <v>1</v>
      </c>
      <c r="E15" s="4" t="s">
        <v>28</v>
      </c>
      <c r="F15" s="4" t="s">
        <v>29</v>
      </c>
      <c r="G15" s="4" t="s">
        <v>21</v>
      </c>
      <c r="H15" s="4" t="s">
        <v>8</v>
      </c>
      <c r="I15" s="8" t="n">
        <v>46260</v>
      </c>
      <c r="J15" s="9" t="s">
        <v>30</v>
      </c>
    </row>
    <row r="16" customFormat="false" ht="27.75" hidden="false" customHeight="true" outlineLevel="0" collapsed="false">
      <c r="E16" s="4" t="s">
        <v>31</v>
      </c>
      <c r="F16" s="4" t="s">
        <v>29</v>
      </c>
      <c r="G16" s="6" t="s">
        <v>32</v>
      </c>
      <c r="H16" s="4" t="s">
        <v>4</v>
      </c>
      <c r="I16" s="8" t="n">
        <v>46260</v>
      </c>
      <c r="J16" s="9" t="s">
        <v>33</v>
      </c>
    </row>
    <row r="17" customFormat="false" ht="27.75" hidden="false" customHeight="true" outlineLevel="0" collapsed="false">
      <c r="B17" s="3" t="s">
        <v>34</v>
      </c>
      <c r="C17" s="10" t="n">
        <f aca="false">COUNTA(Permits!$A$2:$A$300)</f>
        <v>25</v>
      </c>
      <c r="E17" s="4" t="s">
        <v>35</v>
      </c>
      <c r="F17" s="4" t="s">
        <v>36</v>
      </c>
      <c r="G17" s="4" t="s">
        <v>21</v>
      </c>
      <c r="H17" s="4" t="s">
        <v>23</v>
      </c>
      <c r="I17" s="8" t="n">
        <v>46266</v>
      </c>
      <c r="J17" s="9" t="s">
        <v>37</v>
      </c>
    </row>
    <row r="18" customFormat="false" ht="27.75" hidden="false" customHeight="true" outlineLevel="0" collapsed="false">
      <c r="E18" s="4" t="s">
        <v>38</v>
      </c>
      <c r="F18" s="4" t="s">
        <v>29</v>
      </c>
      <c r="G18" s="4" t="s">
        <v>21</v>
      </c>
      <c r="H18" s="4" t="s">
        <v>8</v>
      </c>
      <c r="I18" s="8" t="n">
        <v>46275</v>
      </c>
      <c r="J18" s="9" t="s">
        <v>39</v>
      </c>
    </row>
    <row r="19" customFormat="false" ht="27.75" hidden="false" customHeight="true" outlineLevel="0" collapsed="false">
      <c r="B19" s="3" t="s">
        <v>40</v>
      </c>
      <c r="E19" s="4" t="s">
        <v>41</v>
      </c>
      <c r="F19" s="4" t="s">
        <v>29</v>
      </c>
      <c r="G19" s="6" t="s">
        <v>32</v>
      </c>
      <c r="H19" s="4" t="s">
        <v>4</v>
      </c>
      <c r="I19" s="8" t="n">
        <v>46275</v>
      </c>
      <c r="J19" s="9" t="s">
        <v>33</v>
      </c>
    </row>
    <row r="20" customFormat="false" ht="27.75" hidden="false" customHeight="true" outlineLevel="0" collapsed="false">
      <c r="B20" s="2" t="s">
        <v>42</v>
      </c>
      <c r="C20" s="11" t="n">
        <f aca="true">SUMPRODUCT((Permits!$P$2:$P$300&lt;&gt;"")*(Permits!$P$2:$P$300&lt;TODAY())*(Permits!$M$2:$M$300&lt;&gt;"Permit In-Hand")*(Permits!$M$2:$M$300&lt;&gt;"Inspection Scheduled")*(Permits!$M$2:$M$300&lt;&gt;"Complete"))</f>
        <v>5</v>
      </c>
      <c r="E20" s="4" t="s">
        <v>43</v>
      </c>
      <c r="F20" s="4" t="s">
        <v>44</v>
      </c>
      <c r="G20" s="4" t="s">
        <v>21</v>
      </c>
      <c r="H20" s="4" t="s">
        <v>4</v>
      </c>
      <c r="I20" s="8" t="n">
        <v>46287</v>
      </c>
      <c r="J20" s="9" t="s">
        <v>45</v>
      </c>
    </row>
    <row r="21" customFormat="false" ht="27.75" hidden="false" customHeight="true" outlineLevel="0" collapsed="false">
      <c r="B21" s="2" t="s">
        <v>46</v>
      </c>
      <c r="C21" s="11" t="n">
        <f aca="true">SUMPRODUCT((Permits!$P$2:$P$300&lt;&gt;"")*(Permits!$P$2:$P$300&gt;=TODAY())*(Permits!$P$2:$P$300&lt;=TODAY()+14)*(Permits!$M$2:$M$300&lt;&gt;"Permit In-Hand"))</f>
        <v>3</v>
      </c>
      <c r="E21" s="4" t="s">
        <v>47</v>
      </c>
      <c r="F21" s="4" t="s">
        <v>48</v>
      </c>
      <c r="G21" s="4" t="s">
        <v>21</v>
      </c>
      <c r="H21" s="4" t="s">
        <v>4</v>
      </c>
      <c r="I21" s="8" t="n">
        <v>46289</v>
      </c>
      <c r="J21" s="9" t="s">
        <v>49</v>
      </c>
    </row>
    <row r="22" customFormat="false" ht="27.75" hidden="false" customHeight="true" outlineLevel="0" collapsed="false">
      <c r="B22" s="2" t="s">
        <v>50</v>
      </c>
      <c r="C22" s="11" t="n">
        <f aca="false">COUNTIF(Permits!$N$2:$N$300,"Unknown*")</f>
        <v>12</v>
      </c>
      <c r="E22" s="4" t="s">
        <v>51</v>
      </c>
      <c r="F22" s="4" t="s">
        <v>52</v>
      </c>
      <c r="G22" s="4" t="s">
        <v>21</v>
      </c>
      <c r="H22" s="4" t="s">
        <v>27</v>
      </c>
      <c r="I22" s="8"/>
      <c r="J22" s="9" t="s">
        <v>53</v>
      </c>
    </row>
    <row r="23" customFormat="false" ht="27.75" hidden="false" customHeight="true" outlineLevel="0" collapsed="false">
      <c r="B23" s="2" t="s">
        <v>54</v>
      </c>
      <c r="C23" s="11" t="n">
        <f aca="false">SUMPRODUCT((LEFT(Permits!$N$2:$N$300,7)="Unknown")*(Permits!$J$2:$J$300="Electrical")*((Permits!$M$2:$M$300="Permit In-Hand")+(Permits!$M$2:$M$300="Inspection Scheduled")+(Permits!$M$2:$M$300="Complete")))</f>
        <v>0</v>
      </c>
      <c r="E23" s="4" t="s">
        <v>55</v>
      </c>
      <c r="F23" s="4" t="s">
        <v>48</v>
      </c>
      <c r="G23" s="4" t="s">
        <v>21</v>
      </c>
      <c r="H23" s="4" t="s">
        <v>4</v>
      </c>
      <c r="I23" s="8"/>
      <c r="J23" s="9" t="s">
        <v>56</v>
      </c>
    </row>
    <row r="24" customFormat="false" ht="27.75" hidden="false" customHeight="true" outlineLevel="0" collapsed="false">
      <c r="B24" s="2" t="s">
        <v>57</v>
      </c>
      <c r="C24" s="12" t="n">
        <f aca="false">COUNTIF(Permits!$J$2:$J$300,"Electrical")</f>
        <v>22</v>
      </c>
      <c r="E24" s="4" t="s">
        <v>58</v>
      </c>
      <c r="F24" s="4" t="s">
        <v>59</v>
      </c>
      <c r="G24" s="4" t="s">
        <v>21</v>
      </c>
      <c r="H24" s="4" t="s">
        <v>4</v>
      </c>
      <c r="I24" s="8"/>
      <c r="J24" s="9" t="s">
        <v>60</v>
      </c>
    </row>
    <row r="25" customFormat="false" ht="27.75" hidden="false" customHeight="true" outlineLevel="0" collapsed="false">
      <c r="B25" s="2" t="s">
        <v>61</v>
      </c>
      <c r="C25" s="12" t="n">
        <f aca="false">COUNTIF(Permits!$K$2:$K$300,"RPS")</f>
        <v>3</v>
      </c>
      <c r="E25" s="4" t="s">
        <v>62</v>
      </c>
      <c r="F25" s="4" t="s">
        <v>63</v>
      </c>
      <c r="G25" s="4" t="s">
        <v>21</v>
      </c>
      <c r="H25" s="4" t="s">
        <v>4</v>
      </c>
      <c r="I25" s="8"/>
      <c r="J25" s="9" t="s">
        <v>64</v>
      </c>
    </row>
    <row r="26" customFormat="false" ht="27.75" hidden="false" customHeight="true" outlineLevel="0" collapsed="false">
      <c r="B26" s="2" t="s">
        <v>65</v>
      </c>
      <c r="C26" s="12" t="n">
        <f aca="false">SUMPRODUCT((Permits!$A$2:$A$300&lt;&gt;"")*(Permits!$O$2:$O$300=""))</f>
        <v>10</v>
      </c>
      <c r="E26" s="4" t="s">
        <v>66</v>
      </c>
      <c r="F26" s="4" t="s">
        <v>67</v>
      </c>
      <c r="G26" s="4" t="s">
        <v>21</v>
      </c>
      <c r="H26" s="4" t="s">
        <v>8</v>
      </c>
      <c r="I26" s="8"/>
      <c r="J26" s="9" t="s">
        <v>68</v>
      </c>
    </row>
    <row r="27" customFormat="false" ht="27.75" hidden="false" customHeight="true" outlineLevel="0" collapsed="false">
      <c r="E27" s="4" t="s">
        <v>69</v>
      </c>
      <c r="F27" s="4" t="s">
        <v>70</v>
      </c>
      <c r="G27" s="4" t="s">
        <v>21</v>
      </c>
      <c r="H27" s="4" t="s">
        <v>8</v>
      </c>
      <c r="I27" s="8"/>
      <c r="J27" s="9" t="s">
        <v>68</v>
      </c>
    </row>
    <row r="28" customFormat="false" ht="27.75" hidden="false" customHeight="true" outlineLevel="0" collapsed="false">
      <c r="B28" s="3" t="s">
        <v>71</v>
      </c>
      <c r="E28" s="4" t="s">
        <v>72</v>
      </c>
      <c r="F28" s="4" t="s">
        <v>73</v>
      </c>
      <c r="G28" s="4" t="s">
        <v>21</v>
      </c>
      <c r="H28" s="4" t="s">
        <v>8</v>
      </c>
      <c r="I28" s="8"/>
      <c r="J28" s="9" t="s">
        <v>74</v>
      </c>
    </row>
    <row r="29" customFormat="false" ht="25.5" hidden="false" customHeight="true" outlineLevel="0" collapsed="false">
      <c r="B29" s="13" t="s">
        <v>75</v>
      </c>
      <c r="E29" s="4" t="s">
        <v>76</v>
      </c>
      <c r="F29" s="4" t="s">
        <v>77</v>
      </c>
      <c r="G29" s="4" t="s">
        <v>21</v>
      </c>
      <c r="H29" s="4" t="s">
        <v>8</v>
      </c>
      <c r="I29" s="8"/>
      <c r="J29" s="9" t="s">
        <v>78</v>
      </c>
    </row>
    <row r="30" customFormat="false" ht="25.5" hidden="false" customHeight="true" outlineLevel="0" collapsed="false">
      <c r="B30" s="14" t="s">
        <v>79</v>
      </c>
      <c r="E30" s="4" t="s">
        <v>80</v>
      </c>
      <c r="F30" s="4" t="s">
        <v>77</v>
      </c>
      <c r="G30" s="6" t="s">
        <v>32</v>
      </c>
      <c r="H30" s="4" t="s">
        <v>4</v>
      </c>
      <c r="I30" s="8"/>
      <c r="J30" s="9" t="s">
        <v>81</v>
      </c>
    </row>
    <row r="31" customFormat="false" ht="25.5" hidden="false" customHeight="true" outlineLevel="0" collapsed="false">
      <c r="B31" s="13" t="s">
        <v>82</v>
      </c>
      <c r="E31" s="4" t="s">
        <v>83</v>
      </c>
      <c r="F31" s="4" t="s">
        <v>84</v>
      </c>
      <c r="G31" s="4" t="s">
        <v>21</v>
      </c>
      <c r="H31" s="4" t="s">
        <v>8</v>
      </c>
      <c r="I31" s="8"/>
      <c r="J31" s="9" t="s">
        <v>85</v>
      </c>
    </row>
    <row r="32" customFormat="false" ht="25.5" hidden="false" customHeight="true" outlineLevel="0" collapsed="false">
      <c r="B32" s="14" t="s">
        <v>86</v>
      </c>
    </row>
  </sheetData>
  <mergeCells count="1">
    <mergeCell ref="E7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4"/>
    <col collapsed="false" customWidth="true" hidden="false" outlineLevel="0" max="14" min="14" style="0" width="20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9" min="18" style="0" width="14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5" min="24" style="0" width="13"/>
    <col collapsed="false" customWidth="true" hidden="false" outlineLevel="0" max="26" min="26" style="0" width="58"/>
  </cols>
  <sheetData>
    <row r="1" customFormat="false" ht="36" hidden="false" customHeight="true" outlineLevel="0" collapsed="false">
      <c r="A1" s="15" t="s">
        <v>12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13</v>
      </c>
      <c r="H1" s="15" t="s">
        <v>92</v>
      </c>
      <c r="I1" s="15" t="s">
        <v>93</v>
      </c>
      <c r="J1" s="15" t="s">
        <v>94</v>
      </c>
      <c r="K1" s="15" t="s">
        <v>14</v>
      </c>
      <c r="L1" s="15" t="s">
        <v>95</v>
      </c>
      <c r="M1" s="15" t="s">
        <v>15</v>
      </c>
      <c r="N1" s="15" t="s">
        <v>96</v>
      </c>
      <c r="O1" s="15" t="s">
        <v>97</v>
      </c>
      <c r="P1" s="15" t="s">
        <v>98</v>
      </c>
      <c r="Q1" s="15" t="s">
        <v>99</v>
      </c>
      <c r="R1" s="15" t="s">
        <v>6</v>
      </c>
      <c r="S1" s="15" t="s">
        <v>100</v>
      </c>
      <c r="T1" s="15" t="s">
        <v>101</v>
      </c>
      <c r="U1" s="15" t="s">
        <v>102</v>
      </c>
      <c r="V1" s="15" t="s">
        <v>103</v>
      </c>
      <c r="W1" s="15" t="s">
        <v>104</v>
      </c>
      <c r="X1" s="15" t="s">
        <v>105</v>
      </c>
      <c r="Y1" s="15" t="s">
        <v>106</v>
      </c>
      <c r="Z1" s="15" t="s">
        <v>107</v>
      </c>
    </row>
    <row r="2" customFormat="false" ht="73.5" hidden="false" customHeight="true" outlineLevel="0" collapsed="false">
      <c r="A2" s="4" t="s">
        <v>108</v>
      </c>
      <c r="B2" s="4" t="s">
        <v>109</v>
      </c>
      <c r="C2" s="9" t="s">
        <v>110</v>
      </c>
      <c r="D2" s="9" t="s">
        <v>111</v>
      </c>
      <c r="E2" s="9" t="s">
        <v>112</v>
      </c>
      <c r="F2" s="4" t="s">
        <v>113</v>
      </c>
      <c r="G2" s="9" t="s">
        <v>20</v>
      </c>
      <c r="H2" s="9" t="s">
        <v>114</v>
      </c>
      <c r="I2" s="9" t="s">
        <v>115</v>
      </c>
      <c r="J2" s="16" t="s">
        <v>116</v>
      </c>
      <c r="K2" s="17" t="s">
        <v>117</v>
      </c>
      <c r="L2" s="17" t="s">
        <v>118</v>
      </c>
      <c r="M2" s="17" t="s">
        <v>9</v>
      </c>
      <c r="N2" s="18" t="s">
        <v>119</v>
      </c>
      <c r="O2" s="19" t="n">
        <v>46217</v>
      </c>
      <c r="P2" s="20" t="n">
        <f aca="false">IF(O2="","",O2-28)</f>
        <v>46189</v>
      </c>
      <c r="Q2" s="4" t="str">
        <f aca="true">IF(P2="","",IF(OR(M2="Permit In-Hand",M2="Inspection Scheduled",M2="Complete"),"Have it",P2-TODAY()))</f>
        <v>Have it</v>
      </c>
      <c r="R2" s="21"/>
      <c r="S2" s="21"/>
      <c r="T2" s="21"/>
      <c r="U2" s="22"/>
      <c r="V2" s="23"/>
      <c r="W2" s="21"/>
      <c r="X2" s="21"/>
      <c r="Y2" s="21"/>
      <c r="Z2" s="9" t="s">
        <v>120</v>
      </c>
    </row>
    <row r="3" customFormat="false" ht="73.5" hidden="false" customHeight="true" outlineLevel="0" collapsed="false">
      <c r="A3" s="4" t="s">
        <v>121</v>
      </c>
      <c r="B3" s="4" t="s">
        <v>122</v>
      </c>
      <c r="C3" s="9" t="s">
        <v>123</v>
      </c>
      <c r="D3" s="9" t="s">
        <v>124</v>
      </c>
      <c r="E3" s="9" t="s">
        <v>125</v>
      </c>
      <c r="F3" s="4" t="s">
        <v>113</v>
      </c>
      <c r="G3" s="9" t="s">
        <v>20</v>
      </c>
      <c r="H3" s="9" t="s">
        <v>114</v>
      </c>
      <c r="I3" s="9" t="s">
        <v>115</v>
      </c>
      <c r="J3" s="16" t="s">
        <v>116</v>
      </c>
      <c r="K3" s="17" t="s">
        <v>117</v>
      </c>
      <c r="L3" s="17" t="s">
        <v>118</v>
      </c>
      <c r="M3" s="17" t="s">
        <v>9</v>
      </c>
      <c r="N3" s="18" t="s">
        <v>119</v>
      </c>
      <c r="O3" s="19" t="n">
        <v>46219</v>
      </c>
      <c r="P3" s="20" t="n">
        <f aca="false">IF(O3="","",O3-28)</f>
        <v>46191</v>
      </c>
      <c r="Q3" s="4" t="str">
        <f aca="true">IF(P3="","",IF(OR(M3="Permit In-Hand",M3="Inspection Scheduled",M3="Complete"),"Have it",P3-TODAY()))</f>
        <v>Have it</v>
      </c>
      <c r="R3" s="21"/>
      <c r="S3" s="21"/>
      <c r="T3" s="21"/>
      <c r="U3" s="22"/>
      <c r="V3" s="23"/>
      <c r="W3" s="21"/>
      <c r="X3" s="21"/>
      <c r="Y3" s="21"/>
      <c r="Z3" s="9" t="s">
        <v>126</v>
      </c>
    </row>
    <row r="4" customFormat="false" ht="73.5" hidden="false" customHeight="true" outlineLevel="0" collapsed="false">
      <c r="A4" s="4" t="s">
        <v>127</v>
      </c>
      <c r="B4" s="4" t="s">
        <v>128</v>
      </c>
      <c r="C4" s="9" t="s">
        <v>129</v>
      </c>
      <c r="D4" s="9" t="s">
        <v>130</v>
      </c>
      <c r="E4" s="9" t="s">
        <v>131</v>
      </c>
      <c r="F4" s="4" t="s">
        <v>113</v>
      </c>
      <c r="G4" s="9" t="s">
        <v>20</v>
      </c>
      <c r="H4" s="9" t="s">
        <v>114</v>
      </c>
      <c r="I4" s="9" t="s">
        <v>115</v>
      </c>
      <c r="J4" s="16" t="s">
        <v>116</v>
      </c>
      <c r="K4" s="17" t="s">
        <v>117</v>
      </c>
      <c r="L4" s="17" t="s">
        <v>118</v>
      </c>
      <c r="M4" s="17" t="s">
        <v>9</v>
      </c>
      <c r="N4" s="18" t="s">
        <v>119</v>
      </c>
      <c r="O4" s="19" t="n">
        <v>46225</v>
      </c>
      <c r="P4" s="20" t="n">
        <f aca="false">IF(O4="","",O4-28)</f>
        <v>46197</v>
      </c>
      <c r="Q4" s="4" t="str">
        <f aca="true">IF(P4="","",IF(OR(M4="Permit In-Hand",M4="Inspection Scheduled",M4="Complete"),"Have it",P4-TODAY()))</f>
        <v>Have it</v>
      </c>
      <c r="R4" s="21"/>
      <c r="S4" s="21"/>
      <c r="T4" s="21"/>
      <c r="U4" s="22"/>
      <c r="V4" s="23"/>
      <c r="W4" s="21"/>
      <c r="X4" s="21"/>
      <c r="Y4" s="21"/>
      <c r="Z4" s="9" t="s">
        <v>132</v>
      </c>
    </row>
    <row r="5" customFormat="false" ht="73.5" hidden="false" customHeight="true" outlineLevel="0" collapsed="false">
      <c r="A5" s="4" t="s">
        <v>133</v>
      </c>
      <c r="B5" s="4" t="s">
        <v>134</v>
      </c>
      <c r="C5" s="9" t="s">
        <v>135</v>
      </c>
      <c r="D5" s="9" t="s">
        <v>136</v>
      </c>
      <c r="E5" s="9" t="s">
        <v>137</v>
      </c>
      <c r="F5" s="4" t="s">
        <v>113</v>
      </c>
      <c r="G5" s="9" t="s">
        <v>20</v>
      </c>
      <c r="H5" s="9" t="s">
        <v>114</v>
      </c>
      <c r="I5" s="9" t="s">
        <v>115</v>
      </c>
      <c r="J5" s="16" t="s">
        <v>116</v>
      </c>
      <c r="K5" s="17" t="s">
        <v>117</v>
      </c>
      <c r="L5" s="17" t="s">
        <v>118</v>
      </c>
      <c r="M5" s="17" t="s">
        <v>9</v>
      </c>
      <c r="N5" s="18" t="s">
        <v>119</v>
      </c>
      <c r="O5" s="19" t="n">
        <v>46231</v>
      </c>
      <c r="P5" s="20" t="n">
        <f aca="false">IF(O5="","",O5-28)</f>
        <v>46203</v>
      </c>
      <c r="Q5" s="4" t="str">
        <f aca="true">IF(P5="","",IF(OR(M5="Permit In-Hand",M5="Inspection Scheduled",M5="Complete"),"Have it",P5-TODAY()))</f>
        <v>Have it</v>
      </c>
      <c r="R5" s="21"/>
      <c r="S5" s="21"/>
      <c r="T5" s="21"/>
      <c r="U5" s="22"/>
      <c r="V5" s="23"/>
      <c r="W5" s="21"/>
      <c r="X5" s="21"/>
      <c r="Y5" s="21"/>
      <c r="Z5" s="9" t="s">
        <v>138</v>
      </c>
    </row>
    <row r="6" customFormat="false" ht="73.5" hidden="false" customHeight="true" outlineLevel="0" collapsed="false">
      <c r="A6" s="4" t="s">
        <v>139</v>
      </c>
      <c r="B6" s="4" t="s">
        <v>140</v>
      </c>
      <c r="C6" s="9" t="s">
        <v>141</v>
      </c>
      <c r="D6" s="9" t="s">
        <v>142</v>
      </c>
      <c r="E6" s="9" t="s">
        <v>125</v>
      </c>
      <c r="F6" s="4" t="s">
        <v>113</v>
      </c>
      <c r="G6" s="9" t="s">
        <v>20</v>
      </c>
      <c r="H6" s="9" t="s">
        <v>114</v>
      </c>
      <c r="I6" s="9" t="s">
        <v>115</v>
      </c>
      <c r="J6" s="16" t="s">
        <v>116</v>
      </c>
      <c r="K6" s="17" t="s">
        <v>117</v>
      </c>
      <c r="L6" s="17" t="s">
        <v>118</v>
      </c>
      <c r="M6" s="17" t="s">
        <v>9</v>
      </c>
      <c r="N6" s="18" t="s">
        <v>119</v>
      </c>
      <c r="O6" s="19" t="n">
        <v>46233</v>
      </c>
      <c r="P6" s="20" t="n">
        <f aca="false">IF(O6="","",O6-28)</f>
        <v>46205</v>
      </c>
      <c r="Q6" s="4" t="str">
        <f aca="true">IF(P6="","",IF(OR(M6="Permit In-Hand",M6="Inspection Scheduled",M6="Complete"),"Have it",P6-TODAY()))</f>
        <v>Have it</v>
      </c>
      <c r="R6" s="21"/>
      <c r="S6" s="21"/>
      <c r="T6" s="21"/>
      <c r="U6" s="22"/>
      <c r="V6" s="23"/>
      <c r="W6" s="21"/>
      <c r="X6" s="21"/>
      <c r="Y6" s="21"/>
      <c r="Z6" s="9" t="s">
        <v>143</v>
      </c>
    </row>
    <row r="7" customFormat="false" ht="73.5" hidden="false" customHeight="true" outlineLevel="0" collapsed="false">
      <c r="A7" s="4" t="s">
        <v>144</v>
      </c>
      <c r="B7" s="4" t="s">
        <v>145</v>
      </c>
      <c r="C7" s="9" t="s">
        <v>146</v>
      </c>
      <c r="D7" s="9" t="s">
        <v>147</v>
      </c>
      <c r="E7" s="9" t="s">
        <v>148</v>
      </c>
      <c r="F7" s="4" t="s">
        <v>149</v>
      </c>
      <c r="G7" s="9" t="s">
        <v>150</v>
      </c>
      <c r="H7" s="9" t="s">
        <v>114</v>
      </c>
      <c r="I7" s="9" t="s">
        <v>115</v>
      </c>
      <c r="J7" s="16" t="s">
        <v>116</v>
      </c>
      <c r="K7" s="17" t="s">
        <v>117</v>
      </c>
      <c r="L7" s="17" t="s">
        <v>118</v>
      </c>
      <c r="M7" s="17" t="s">
        <v>9</v>
      </c>
      <c r="N7" s="18" t="s">
        <v>119</v>
      </c>
      <c r="O7" s="19" t="n">
        <v>46280</v>
      </c>
      <c r="P7" s="20" t="n">
        <f aca="false">IF(O7="","",O7-28)</f>
        <v>46252</v>
      </c>
      <c r="Q7" s="4" t="str">
        <f aca="true">IF(P7="","",IF(OR(M7="Permit In-Hand",M7="Inspection Scheduled",M7="Complete"),"Have it",P7-TODAY()))</f>
        <v>Have it</v>
      </c>
      <c r="R7" s="21"/>
      <c r="S7" s="21"/>
      <c r="T7" s="21"/>
      <c r="U7" s="22"/>
      <c r="V7" s="23"/>
      <c r="W7" s="21"/>
      <c r="X7" s="21"/>
      <c r="Y7" s="21"/>
      <c r="Z7" s="9" t="s">
        <v>151</v>
      </c>
    </row>
    <row r="8" customFormat="false" ht="73.5" hidden="false" customHeight="true" outlineLevel="0" collapsed="false">
      <c r="A8" s="4" t="s">
        <v>19</v>
      </c>
      <c r="B8" s="4" t="s">
        <v>152</v>
      </c>
      <c r="C8" s="9" t="s">
        <v>153</v>
      </c>
      <c r="D8" s="9" t="s">
        <v>154</v>
      </c>
      <c r="E8" s="9" t="s">
        <v>125</v>
      </c>
      <c r="F8" s="4" t="s">
        <v>113</v>
      </c>
      <c r="G8" s="9" t="s">
        <v>20</v>
      </c>
      <c r="H8" s="9" t="s">
        <v>114</v>
      </c>
      <c r="I8" s="9" t="s">
        <v>115</v>
      </c>
      <c r="J8" s="16" t="s">
        <v>116</v>
      </c>
      <c r="K8" s="17" t="s">
        <v>117</v>
      </c>
      <c r="L8" s="17" t="s">
        <v>118</v>
      </c>
      <c r="M8" s="17" t="s">
        <v>8</v>
      </c>
      <c r="N8" s="24" t="s">
        <v>155</v>
      </c>
      <c r="O8" s="19" t="n">
        <v>46247</v>
      </c>
      <c r="P8" s="20" t="n">
        <f aca="false">IF(O8="","",O8-28)</f>
        <v>46219</v>
      </c>
      <c r="Q8" s="4" t="n">
        <f aca="true">IF(P8="","",IF(OR(M8="Permit In-Hand",M8="Inspection Scheduled",M8="Complete"),"Have it",P8-TODAY()))</f>
        <v>-27</v>
      </c>
      <c r="R8" s="21"/>
      <c r="S8" s="21"/>
      <c r="T8" s="21"/>
      <c r="U8" s="22"/>
      <c r="V8" s="23"/>
      <c r="W8" s="21"/>
      <c r="X8" s="21"/>
      <c r="Y8" s="21"/>
      <c r="Z8" s="9" t="s">
        <v>156</v>
      </c>
    </row>
    <row r="9" customFormat="false" ht="73.5" hidden="false" customHeight="true" outlineLevel="0" collapsed="false">
      <c r="A9" s="4" t="s">
        <v>24</v>
      </c>
      <c r="B9" s="4" t="s">
        <v>157</v>
      </c>
      <c r="C9" s="9" t="s">
        <v>158</v>
      </c>
      <c r="D9" s="9" t="s">
        <v>159</v>
      </c>
      <c r="E9" s="9" t="s">
        <v>160</v>
      </c>
      <c r="F9" s="4" t="s">
        <v>161</v>
      </c>
      <c r="G9" s="9" t="s">
        <v>162</v>
      </c>
      <c r="H9" s="9" t="s">
        <v>114</v>
      </c>
      <c r="I9" s="9" t="s">
        <v>115</v>
      </c>
      <c r="J9" s="16" t="s">
        <v>116</v>
      </c>
      <c r="K9" s="17" t="s">
        <v>117</v>
      </c>
      <c r="L9" s="17" t="s">
        <v>118</v>
      </c>
      <c r="M9" s="17" t="s">
        <v>4</v>
      </c>
      <c r="N9" s="24" t="s">
        <v>155</v>
      </c>
      <c r="O9" s="19" t="n">
        <v>46254</v>
      </c>
      <c r="P9" s="20" t="n">
        <f aca="false">IF(O9="","",O9-28)</f>
        <v>46226</v>
      </c>
      <c r="Q9" s="4" t="n">
        <f aca="true">IF(P9="","",IF(OR(M9="Permit In-Hand",M9="Inspection Scheduled",M9="Complete"),"Have it",P9-TODAY()))</f>
        <v>-20</v>
      </c>
      <c r="R9" s="21"/>
      <c r="S9" s="21"/>
      <c r="T9" s="21"/>
      <c r="U9" s="22"/>
      <c r="V9" s="23"/>
      <c r="W9" s="21"/>
      <c r="X9" s="21"/>
      <c r="Y9" s="21"/>
      <c r="Z9" s="9" t="s">
        <v>163</v>
      </c>
    </row>
    <row r="10" customFormat="false" ht="73.5" hidden="false" customHeight="true" outlineLevel="0" collapsed="false">
      <c r="A10" s="4" t="s">
        <v>28</v>
      </c>
      <c r="B10" s="4" t="s">
        <v>164</v>
      </c>
      <c r="C10" s="9" t="s">
        <v>165</v>
      </c>
      <c r="D10" s="9" t="s">
        <v>166</v>
      </c>
      <c r="E10" s="9" t="s">
        <v>167</v>
      </c>
      <c r="F10" s="4" t="s">
        <v>113</v>
      </c>
      <c r="G10" s="9" t="s">
        <v>29</v>
      </c>
      <c r="H10" s="9" t="s">
        <v>114</v>
      </c>
      <c r="I10" s="9" t="s">
        <v>115</v>
      </c>
      <c r="J10" s="16" t="s">
        <v>116</v>
      </c>
      <c r="K10" s="17" t="s">
        <v>117</v>
      </c>
      <c r="L10" s="17" t="s">
        <v>118</v>
      </c>
      <c r="M10" s="17" t="s">
        <v>8</v>
      </c>
      <c r="N10" s="25" t="s">
        <v>168</v>
      </c>
      <c r="O10" s="19" t="n">
        <v>46260</v>
      </c>
      <c r="P10" s="20" t="n">
        <f aca="false">IF(O10="","",O10-28)</f>
        <v>46232</v>
      </c>
      <c r="Q10" s="4" t="n">
        <f aca="true">IF(P10="","",IF(OR(M10="Permit In-Hand",M10="Inspection Scheduled",M10="Complete"),"Have it",P10-TODAY()))</f>
        <v>-14</v>
      </c>
      <c r="R10" s="21"/>
      <c r="S10" s="21"/>
      <c r="T10" s="21"/>
      <c r="U10" s="22"/>
      <c r="V10" s="23"/>
      <c r="W10" s="21"/>
      <c r="X10" s="21"/>
      <c r="Y10" s="21"/>
      <c r="Z10" s="9" t="s">
        <v>169</v>
      </c>
    </row>
    <row r="11" customFormat="false" ht="73.5" hidden="false" customHeight="true" outlineLevel="0" collapsed="false">
      <c r="A11" s="4" t="s">
        <v>31</v>
      </c>
      <c r="B11" s="4" t="s">
        <v>164</v>
      </c>
      <c r="C11" s="9" t="s">
        <v>165</v>
      </c>
      <c r="D11" s="9" t="s">
        <v>166</v>
      </c>
      <c r="E11" s="9" t="s">
        <v>167</v>
      </c>
      <c r="F11" s="4" t="s">
        <v>113</v>
      </c>
      <c r="G11" s="9" t="s">
        <v>29</v>
      </c>
      <c r="H11" s="9" t="s">
        <v>114</v>
      </c>
      <c r="I11" s="9" t="s">
        <v>115</v>
      </c>
      <c r="J11" s="26" t="s">
        <v>170</v>
      </c>
      <c r="K11" s="17" t="s">
        <v>32</v>
      </c>
      <c r="L11" s="17" t="s">
        <v>118</v>
      </c>
      <c r="M11" s="17" t="s">
        <v>4</v>
      </c>
      <c r="N11" s="9"/>
      <c r="O11" s="19" t="n">
        <v>46260</v>
      </c>
      <c r="P11" s="20" t="n">
        <f aca="false">IF(O11="","",O11-28)</f>
        <v>46232</v>
      </c>
      <c r="Q11" s="4" t="n">
        <f aca="true">IF(P11="","",IF(OR(M11="Permit In-Hand",M11="Inspection Scheduled",M11="Complete"),"Have it",P11-TODAY()))</f>
        <v>-14</v>
      </c>
      <c r="R11" s="21"/>
      <c r="S11" s="21"/>
      <c r="T11" s="21"/>
      <c r="U11" s="22"/>
      <c r="V11" s="23"/>
      <c r="W11" s="21"/>
      <c r="X11" s="21"/>
      <c r="Y11" s="21"/>
      <c r="Z11" s="9" t="s">
        <v>171</v>
      </c>
    </row>
    <row r="12" customFormat="false" ht="73.5" hidden="false" customHeight="true" outlineLevel="0" collapsed="false">
      <c r="A12" s="4" t="s">
        <v>35</v>
      </c>
      <c r="B12" s="4" t="s">
        <v>172</v>
      </c>
      <c r="C12" s="9" t="s">
        <v>173</v>
      </c>
      <c r="D12" s="9" t="s">
        <v>174</v>
      </c>
      <c r="E12" s="9" t="s">
        <v>175</v>
      </c>
      <c r="F12" s="4" t="s">
        <v>149</v>
      </c>
      <c r="G12" s="9" t="s">
        <v>36</v>
      </c>
      <c r="H12" s="9" t="s">
        <v>114</v>
      </c>
      <c r="I12" s="9" t="s">
        <v>115</v>
      </c>
      <c r="J12" s="16" t="s">
        <v>116</v>
      </c>
      <c r="K12" s="17" t="s">
        <v>117</v>
      </c>
      <c r="L12" s="17" t="s">
        <v>118</v>
      </c>
      <c r="M12" s="17" t="s">
        <v>23</v>
      </c>
      <c r="N12" s="24" t="s">
        <v>155</v>
      </c>
      <c r="O12" s="19" t="n">
        <v>46266</v>
      </c>
      <c r="P12" s="20" t="n">
        <f aca="false">IF(O12="","",O12-28)</f>
        <v>46238</v>
      </c>
      <c r="Q12" s="4" t="n">
        <f aca="true">IF(P12="","",IF(OR(M12="Permit In-Hand",M12="Inspection Scheduled",M12="Complete"),"Have it",P12-TODAY()))</f>
        <v>-8</v>
      </c>
      <c r="R12" s="21"/>
      <c r="S12" s="21"/>
      <c r="T12" s="21"/>
      <c r="U12" s="22"/>
      <c r="V12" s="23"/>
      <c r="W12" s="21"/>
      <c r="X12" s="21"/>
      <c r="Y12" s="21"/>
      <c r="Z12" s="9" t="s">
        <v>176</v>
      </c>
    </row>
    <row r="13" customFormat="false" ht="73.5" hidden="false" customHeight="true" outlineLevel="0" collapsed="false">
      <c r="A13" s="4" t="s">
        <v>38</v>
      </c>
      <c r="B13" s="4" t="s">
        <v>177</v>
      </c>
      <c r="C13" s="9" t="s">
        <v>178</v>
      </c>
      <c r="D13" s="9" t="s">
        <v>179</v>
      </c>
      <c r="E13" s="9" t="s">
        <v>167</v>
      </c>
      <c r="F13" s="4" t="s">
        <v>113</v>
      </c>
      <c r="G13" s="9" t="s">
        <v>29</v>
      </c>
      <c r="H13" s="9" t="s">
        <v>114</v>
      </c>
      <c r="I13" s="9" t="s">
        <v>115</v>
      </c>
      <c r="J13" s="16" t="s">
        <v>116</v>
      </c>
      <c r="K13" s="17" t="s">
        <v>117</v>
      </c>
      <c r="L13" s="17" t="s">
        <v>118</v>
      </c>
      <c r="M13" s="17" t="s">
        <v>8</v>
      </c>
      <c r="N13" s="25" t="s">
        <v>168</v>
      </c>
      <c r="O13" s="19" t="n">
        <v>46275</v>
      </c>
      <c r="P13" s="20" t="n">
        <f aca="false">IF(O13="","",O13-28)</f>
        <v>46247</v>
      </c>
      <c r="Q13" s="4" t="n">
        <f aca="true">IF(P13="","",IF(OR(M13="Permit In-Hand",M13="Inspection Scheduled",M13="Complete"),"Have it",P13-TODAY()))</f>
        <v>1</v>
      </c>
      <c r="R13" s="21"/>
      <c r="S13" s="21"/>
      <c r="T13" s="21"/>
      <c r="U13" s="22"/>
      <c r="V13" s="23"/>
      <c r="W13" s="21"/>
      <c r="X13" s="21"/>
      <c r="Y13" s="21"/>
      <c r="Z13" s="9" t="s">
        <v>180</v>
      </c>
    </row>
    <row r="14" customFormat="false" ht="73.5" hidden="false" customHeight="true" outlineLevel="0" collapsed="false">
      <c r="A14" s="4" t="s">
        <v>41</v>
      </c>
      <c r="B14" s="4" t="s">
        <v>177</v>
      </c>
      <c r="C14" s="9" t="s">
        <v>178</v>
      </c>
      <c r="D14" s="9" t="s">
        <v>179</v>
      </c>
      <c r="E14" s="9" t="s">
        <v>167</v>
      </c>
      <c r="F14" s="4" t="s">
        <v>113</v>
      </c>
      <c r="G14" s="9" t="s">
        <v>29</v>
      </c>
      <c r="H14" s="9" t="s">
        <v>114</v>
      </c>
      <c r="I14" s="9" t="s">
        <v>115</v>
      </c>
      <c r="J14" s="26" t="s">
        <v>170</v>
      </c>
      <c r="K14" s="17" t="s">
        <v>32</v>
      </c>
      <c r="L14" s="17" t="s">
        <v>118</v>
      </c>
      <c r="M14" s="17" t="s">
        <v>4</v>
      </c>
      <c r="N14" s="9"/>
      <c r="O14" s="19" t="n">
        <v>46275</v>
      </c>
      <c r="P14" s="20" t="n">
        <f aca="false">IF(O14="","",O14-28)</f>
        <v>46247</v>
      </c>
      <c r="Q14" s="4" t="n">
        <f aca="true">IF(P14="","",IF(OR(M14="Permit In-Hand",M14="Inspection Scheduled",M14="Complete"),"Have it",P14-TODAY()))</f>
        <v>1</v>
      </c>
      <c r="R14" s="21"/>
      <c r="S14" s="21"/>
      <c r="T14" s="21"/>
      <c r="U14" s="22"/>
      <c r="V14" s="23"/>
      <c r="W14" s="21"/>
      <c r="X14" s="21"/>
      <c r="Y14" s="21"/>
      <c r="Z14" s="9" t="s">
        <v>171</v>
      </c>
    </row>
    <row r="15" customFormat="false" ht="73.5" hidden="false" customHeight="true" outlineLevel="0" collapsed="false">
      <c r="A15" s="4" t="s">
        <v>43</v>
      </c>
      <c r="B15" s="4" t="s">
        <v>181</v>
      </c>
      <c r="C15" s="9" t="s">
        <v>182</v>
      </c>
      <c r="D15" s="9" t="s">
        <v>183</v>
      </c>
      <c r="E15" s="9" t="s">
        <v>184</v>
      </c>
      <c r="F15" s="4" t="s">
        <v>113</v>
      </c>
      <c r="G15" s="9" t="s">
        <v>185</v>
      </c>
      <c r="H15" s="9" t="s">
        <v>114</v>
      </c>
      <c r="I15" s="9" t="s">
        <v>115</v>
      </c>
      <c r="J15" s="16" t="s">
        <v>116</v>
      </c>
      <c r="K15" s="17" t="s">
        <v>117</v>
      </c>
      <c r="L15" s="17" t="s">
        <v>118</v>
      </c>
      <c r="M15" s="17" t="s">
        <v>4</v>
      </c>
      <c r="N15" s="24" t="s">
        <v>155</v>
      </c>
      <c r="O15" s="19" t="n">
        <v>46287</v>
      </c>
      <c r="P15" s="20" t="n">
        <f aca="false">IF(O15="","",O15-28)</f>
        <v>46259</v>
      </c>
      <c r="Q15" s="4" t="n">
        <f aca="true">IF(P15="","",IF(OR(M15="Permit In-Hand",M15="Inspection Scheduled",M15="Complete"),"Have it",P15-TODAY()))</f>
        <v>13</v>
      </c>
      <c r="R15" s="21"/>
      <c r="S15" s="21"/>
      <c r="T15" s="21"/>
      <c r="U15" s="22"/>
      <c r="V15" s="23"/>
      <c r="W15" s="21"/>
      <c r="X15" s="21"/>
      <c r="Y15" s="21"/>
      <c r="Z15" s="9" t="s">
        <v>186</v>
      </c>
    </row>
    <row r="16" customFormat="false" ht="73.5" hidden="false" customHeight="true" outlineLevel="0" collapsed="false">
      <c r="A16" s="4" t="s">
        <v>47</v>
      </c>
      <c r="B16" s="4" t="s">
        <v>187</v>
      </c>
      <c r="C16" s="9" t="s">
        <v>188</v>
      </c>
      <c r="D16" s="9" t="s">
        <v>189</v>
      </c>
      <c r="E16" s="9" t="s">
        <v>190</v>
      </c>
      <c r="F16" s="4" t="s">
        <v>113</v>
      </c>
      <c r="G16" s="9" t="s">
        <v>48</v>
      </c>
      <c r="H16" s="9" t="s">
        <v>114</v>
      </c>
      <c r="I16" s="9" t="s">
        <v>115</v>
      </c>
      <c r="J16" s="16" t="s">
        <v>116</v>
      </c>
      <c r="K16" s="17" t="s">
        <v>117</v>
      </c>
      <c r="L16" s="17" t="s">
        <v>118</v>
      </c>
      <c r="M16" s="17" t="s">
        <v>4</v>
      </c>
      <c r="N16" s="24" t="s">
        <v>155</v>
      </c>
      <c r="O16" s="19" t="n">
        <v>46289</v>
      </c>
      <c r="P16" s="20" t="n">
        <f aca="false">IF(O16="","",O16-28)</f>
        <v>46261</v>
      </c>
      <c r="Q16" s="4" t="n">
        <f aca="true">IF(P16="","",IF(OR(M16="Permit In-Hand",M16="Inspection Scheduled",M16="Complete"),"Have it",P16-TODAY()))</f>
        <v>15</v>
      </c>
      <c r="R16" s="21"/>
      <c r="S16" s="21"/>
      <c r="T16" s="21"/>
      <c r="U16" s="22"/>
      <c r="V16" s="23"/>
      <c r="W16" s="21"/>
      <c r="X16" s="21"/>
      <c r="Y16" s="21"/>
      <c r="Z16" s="9" t="s">
        <v>191</v>
      </c>
    </row>
    <row r="17" customFormat="false" ht="73.5" hidden="false" customHeight="true" outlineLevel="0" collapsed="false">
      <c r="A17" s="4" t="s">
        <v>51</v>
      </c>
      <c r="B17" s="4" t="s">
        <v>192</v>
      </c>
      <c r="C17" s="9" t="s">
        <v>193</v>
      </c>
      <c r="D17" s="9" t="s">
        <v>194</v>
      </c>
      <c r="E17" s="9" t="s">
        <v>195</v>
      </c>
      <c r="F17" s="4" t="s">
        <v>149</v>
      </c>
      <c r="G17" s="9" t="s">
        <v>52</v>
      </c>
      <c r="H17" s="9" t="s">
        <v>114</v>
      </c>
      <c r="I17" s="9" t="s">
        <v>115</v>
      </c>
      <c r="J17" s="16" t="s">
        <v>116</v>
      </c>
      <c r="K17" s="17" t="s">
        <v>117</v>
      </c>
      <c r="L17" s="17" t="s">
        <v>118</v>
      </c>
      <c r="M17" s="17" t="s">
        <v>27</v>
      </c>
      <c r="N17" s="9" t="s">
        <v>196</v>
      </c>
      <c r="O17" s="19"/>
      <c r="P17" s="20" t="str">
        <f aca="false">IF(O17="","",O17-28)</f>
        <v/>
      </c>
      <c r="Q17" s="4" t="str">
        <f aca="true">IF(P17="","",IF(OR(M17="Permit In-Hand",M17="Inspection Scheduled",M17="Complete"),"Have it",P17-TODAY()))</f>
        <v/>
      </c>
      <c r="R17" s="21"/>
      <c r="S17" s="21"/>
      <c r="T17" s="21"/>
      <c r="U17" s="22"/>
      <c r="V17" s="23"/>
      <c r="W17" s="21"/>
      <c r="X17" s="21"/>
      <c r="Y17" s="21"/>
      <c r="Z17" s="9" t="s">
        <v>197</v>
      </c>
    </row>
    <row r="18" customFormat="false" ht="73.5" hidden="false" customHeight="true" outlineLevel="0" collapsed="false">
      <c r="A18" s="4" t="s">
        <v>55</v>
      </c>
      <c r="B18" s="4" t="s">
        <v>198</v>
      </c>
      <c r="C18" s="9" t="s">
        <v>199</v>
      </c>
      <c r="D18" s="9" t="s">
        <v>200</v>
      </c>
      <c r="E18" s="9" t="s">
        <v>201</v>
      </c>
      <c r="F18" s="4" t="s">
        <v>113</v>
      </c>
      <c r="G18" s="9" t="s">
        <v>48</v>
      </c>
      <c r="H18" s="9" t="s">
        <v>114</v>
      </c>
      <c r="I18" s="9" t="s">
        <v>115</v>
      </c>
      <c r="J18" s="16" t="s">
        <v>116</v>
      </c>
      <c r="K18" s="17" t="s">
        <v>117</v>
      </c>
      <c r="L18" s="17" t="s">
        <v>118</v>
      </c>
      <c r="M18" s="17" t="s">
        <v>4</v>
      </c>
      <c r="N18" s="24" t="s">
        <v>155</v>
      </c>
      <c r="O18" s="19"/>
      <c r="P18" s="20" t="str">
        <f aca="false">IF(O18="","",O18-28)</f>
        <v/>
      </c>
      <c r="Q18" s="4" t="str">
        <f aca="true">IF(P18="","",IF(OR(M18="Permit In-Hand",M18="Inspection Scheduled",M18="Complete"),"Have it",P18-TODAY()))</f>
        <v/>
      </c>
      <c r="R18" s="21"/>
      <c r="S18" s="21"/>
      <c r="T18" s="21"/>
      <c r="U18" s="22"/>
      <c r="V18" s="23"/>
      <c r="W18" s="21"/>
      <c r="X18" s="21"/>
      <c r="Y18" s="21"/>
      <c r="Z18" s="9" t="s">
        <v>191</v>
      </c>
    </row>
    <row r="19" customFormat="false" ht="73.5" hidden="false" customHeight="true" outlineLevel="0" collapsed="false">
      <c r="A19" s="4" t="s">
        <v>58</v>
      </c>
      <c r="B19" s="4" t="s">
        <v>202</v>
      </c>
      <c r="C19" s="9" t="s">
        <v>203</v>
      </c>
      <c r="D19" s="9" t="s">
        <v>204</v>
      </c>
      <c r="E19" s="9" t="s">
        <v>205</v>
      </c>
      <c r="F19" s="4" t="s">
        <v>113</v>
      </c>
      <c r="G19" s="9" t="s">
        <v>59</v>
      </c>
      <c r="H19" s="9" t="s">
        <v>114</v>
      </c>
      <c r="I19" s="9" t="s">
        <v>115</v>
      </c>
      <c r="J19" s="16" t="s">
        <v>116</v>
      </c>
      <c r="K19" s="17" t="s">
        <v>117</v>
      </c>
      <c r="L19" s="17" t="s">
        <v>118</v>
      </c>
      <c r="M19" s="17" t="s">
        <v>4</v>
      </c>
      <c r="N19" s="24" t="s">
        <v>155</v>
      </c>
      <c r="O19" s="19"/>
      <c r="P19" s="20" t="str">
        <f aca="false">IF(O19="","",O19-28)</f>
        <v/>
      </c>
      <c r="Q19" s="4" t="str">
        <f aca="true">IF(P19="","",IF(OR(M19="Permit In-Hand",M19="Inspection Scheduled",M19="Complete"),"Have it",P19-TODAY()))</f>
        <v/>
      </c>
      <c r="R19" s="21"/>
      <c r="S19" s="21"/>
      <c r="T19" s="21"/>
      <c r="U19" s="22"/>
      <c r="V19" s="23"/>
      <c r="W19" s="21"/>
      <c r="X19" s="21"/>
      <c r="Y19" s="21"/>
      <c r="Z19" s="9" t="s">
        <v>206</v>
      </c>
    </row>
    <row r="20" customFormat="false" ht="73.5" hidden="false" customHeight="true" outlineLevel="0" collapsed="false">
      <c r="A20" s="4" t="s">
        <v>62</v>
      </c>
      <c r="B20" s="4" t="s">
        <v>207</v>
      </c>
      <c r="C20" s="9" t="s">
        <v>208</v>
      </c>
      <c r="D20" s="9" t="s">
        <v>209</v>
      </c>
      <c r="E20" s="9" t="s">
        <v>201</v>
      </c>
      <c r="F20" s="4" t="s">
        <v>113</v>
      </c>
      <c r="G20" s="9" t="s">
        <v>63</v>
      </c>
      <c r="H20" s="9" t="s">
        <v>114</v>
      </c>
      <c r="I20" s="9" t="s">
        <v>115</v>
      </c>
      <c r="J20" s="16" t="s">
        <v>116</v>
      </c>
      <c r="K20" s="17" t="s">
        <v>117</v>
      </c>
      <c r="L20" s="17" t="s">
        <v>118</v>
      </c>
      <c r="M20" s="17" t="s">
        <v>4</v>
      </c>
      <c r="N20" s="24" t="s">
        <v>155</v>
      </c>
      <c r="O20" s="19"/>
      <c r="P20" s="20" t="str">
        <f aca="false">IF(O20="","",O20-28)</f>
        <v/>
      </c>
      <c r="Q20" s="4" t="str">
        <f aca="true">IF(P20="","",IF(OR(M20="Permit In-Hand",M20="Inspection Scheduled",M20="Complete"),"Have it",P20-TODAY()))</f>
        <v/>
      </c>
      <c r="R20" s="21"/>
      <c r="S20" s="21"/>
      <c r="T20" s="21"/>
      <c r="U20" s="22"/>
      <c r="V20" s="23"/>
      <c r="W20" s="21"/>
      <c r="X20" s="21"/>
      <c r="Y20" s="21"/>
      <c r="Z20" s="9" t="s">
        <v>210</v>
      </c>
    </row>
    <row r="21" customFormat="false" ht="73.5" hidden="false" customHeight="true" outlineLevel="0" collapsed="false">
      <c r="A21" s="4" t="s">
        <v>66</v>
      </c>
      <c r="B21" s="4" t="s">
        <v>211</v>
      </c>
      <c r="C21" s="9" t="s">
        <v>212</v>
      </c>
      <c r="D21" s="9" t="s">
        <v>213</v>
      </c>
      <c r="E21" s="9" t="s">
        <v>214</v>
      </c>
      <c r="F21" s="4" t="s">
        <v>113</v>
      </c>
      <c r="G21" s="9" t="s">
        <v>67</v>
      </c>
      <c r="H21" s="9" t="s">
        <v>114</v>
      </c>
      <c r="I21" s="9" t="s">
        <v>115</v>
      </c>
      <c r="J21" s="16" t="s">
        <v>116</v>
      </c>
      <c r="K21" s="17" t="s">
        <v>117</v>
      </c>
      <c r="L21" s="17" t="s">
        <v>118</v>
      </c>
      <c r="M21" s="17" t="s">
        <v>8</v>
      </c>
      <c r="N21" s="24" t="s">
        <v>155</v>
      </c>
      <c r="O21" s="19"/>
      <c r="P21" s="20" t="str">
        <f aca="false">IF(O21="","",O21-28)</f>
        <v/>
      </c>
      <c r="Q21" s="4" t="str">
        <f aca="true">IF(P21="","",IF(OR(M21="Permit In-Hand",M21="Inspection Scheduled",M21="Complete"),"Have it",P21-TODAY()))</f>
        <v/>
      </c>
      <c r="R21" s="21"/>
      <c r="S21" s="21"/>
      <c r="T21" s="21"/>
      <c r="U21" s="22"/>
      <c r="V21" s="23"/>
      <c r="W21" s="21"/>
      <c r="X21" s="21"/>
      <c r="Y21" s="21"/>
      <c r="Z21" s="9" t="s">
        <v>215</v>
      </c>
    </row>
    <row r="22" customFormat="false" ht="73.5" hidden="false" customHeight="true" outlineLevel="0" collapsed="false">
      <c r="A22" s="4" t="s">
        <v>69</v>
      </c>
      <c r="B22" s="4" t="s">
        <v>216</v>
      </c>
      <c r="C22" s="9" t="s">
        <v>217</v>
      </c>
      <c r="D22" s="9" t="s">
        <v>218</v>
      </c>
      <c r="E22" s="9" t="s">
        <v>219</v>
      </c>
      <c r="F22" s="4" t="s">
        <v>113</v>
      </c>
      <c r="G22" s="9" t="s">
        <v>70</v>
      </c>
      <c r="H22" s="9" t="s">
        <v>114</v>
      </c>
      <c r="I22" s="9" t="s">
        <v>115</v>
      </c>
      <c r="J22" s="16" t="s">
        <v>116</v>
      </c>
      <c r="K22" s="17" t="s">
        <v>117</v>
      </c>
      <c r="L22" s="17" t="s">
        <v>118</v>
      </c>
      <c r="M22" s="17" t="s">
        <v>8</v>
      </c>
      <c r="N22" s="24" t="s">
        <v>155</v>
      </c>
      <c r="O22" s="19"/>
      <c r="P22" s="20" t="str">
        <f aca="false">IF(O22="","",O22-28)</f>
        <v/>
      </c>
      <c r="Q22" s="4" t="str">
        <f aca="true">IF(P22="","",IF(OR(M22="Permit In-Hand",M22="Inspection Scheduled",M22="Complete"),"Have it",P22-TODAY()))</f>
        <v/>
      </c>
      <c r="R22" s="21"/>
      <c r="S22" s="21"/>
      <c r="T22" s="21"/>
      <c r="U22" s="22"/>
      <c r="V22" s="23"/>
      <c r="W22" s="21"/>
      <c r="X22" s="21"/>
      <c r="Y22" s="21"/>
      <c r="Z22" s="9" t="s">
        <v>220</v>
      </c>
    </row>
    <row r="23" customFormat="false" ht="73.5" hidden="false" customHeight="true" outlineLevel="0" collapsed="false">
      <c r="A23" s="4" t="s">
        <v>72</v>
      </c>
      <c r="B23" s="4" t="s">
        <v>221</v>
      </c>
      <c r="C23" s="9" t="s">
        <v>222</v>
      </c>
      <c r="D23" s="9" t="s">
        <v>223</v>
      </c>
      <c r="E23" s="9" t="s">
        <v>224</v>
      </c>
      <c r="F23" s="4" t="s">
        <v>113</v>
      </c>
      <c r="G23" s="9" t="s">
        <v>73</v>
      </c>
      <c r="H23" s="9" t="s">
        <v>114</v>
      </c>
      <c r="I23" s="9" t="s">
        <v>115</v>
      </c>
      <c r="J23" s="16" t="s">
        <v>116</v>
      </c>
      <c r="K23" s="17" t="s">
        <v>117</v>
      </c>
      <c r="L23" s="17" t="s">
        <v>118</v>
      </c>
      <c r="M23" s="17" t="s">
        <v>8</v>
      </c>
      <c r="N23" s="24" t="s">
        <v>155</v>
      </c>
      <c r="O23" s="19"/>
      <c r="P23" s="20" t="str">
        <f aca="false">IF(O23="","",O23-28)</f>
        <v/>
      </c>
      <c r="Q23" s="4" t="str">
        <f aca="true">IF(P23="","",IF(OR(M23="Permit In-Hand",M23="Inspection Scheduled",M23="Complete"),"Have it",P23-TODAY()))</f>
        <v/>
      </c>
      <c r="R23" s="21"/>
      <c r="S23" s="21"/>
      <c r="T23" s="21"/>
      <c r="U23" s="22"/>
      <c r="V23" s="23"/>
      <c r="W23" s="21"/>
      <c r="X23" s="21"/>
      <c r="Y23" s="21"/>
      <c r="Z23" s="9" t="s">
        <v>225</v>
      </c>
    </row>
    <row r="24" customFormat="false" ht="73.5" hidden="false" customHeight="true" outlineLevel="0" collapsed="false">
      <c r="A24" s="4" t="s">
        <v>76</v>
      </c>
      <c r="B24" s="4" t="s">
        <v>226</v>
      </c>
      <c r="C24" s="9" t="s">
        <v>227</v>
      </c>
      <c r="D24" s="9" t="s">
        <v>228</v>
      </c>
      <c r="E24" s="9" t="s">
        <v>229</v>
      </c>
      <c r="F24" s="4" t="s">
        <v>113</v>
      </c>
      <c r="G24" s="9" t="s">
        <v>77</v>
      </c>
      <c r="H24" s="9" t="s">
        <v>114</v>
      </c>
      <c r="I24" s="9" t="s">
        <v>115</v>
      </c>
      <c r="J24" s="16" t="s">
        <v>116</v>
      </c>
      <c r="K24" s="17" t="s">
        <v>117</v>
      </c>
      <c r="L24" s="17" t="s">
        <v>118</v>
      </c>
      <c r="M24" s="17" t="s">
        <v>8</v>
      </c>
      <c r="N24" s="25" t="s">
        <v>230</v>
      </c>
      <c r="O24" s="19"/>
      <c r="P24" s="20" t="str">
        <f aca="false">IF(O24="","",O24-28)</f>
        <v/>
      </c>
      <c r="Q24" s="4" t="str">
        <f aca="true">IF(P24="","",IF(OR(M24="Permit In-Hand",M24="Inspection Scheduled",M24="Complete"),"Have it",P24-TODAY()))</f>
        <v/>
      </c>
      <c r="R24" s="21"/>
      <c r="S24" s="21"/>
      <c r="T24" s="21"/>
      <c r="U24" s="22"/>
      <c r="V24" s="23"/>
      <c r="W24" s="21"/>
      <c r="X24" s="21"/>
      <c r="Y24" s="21"/>
      <c r="Z24" s="9" t="s">
        <v>231</v>
      </c>
    </row>
    <row r="25" customFormat="false" ht="73.5" hidden="false" customHeight="true" outlineLevel="0" collapsed="false">
      <c r="A25" s="4" t="s">
        <v>80</v>
      </c>
      <c r="B25" s="4" t="s">
        <v>226</v>
      </c>
      <c r="C25" s="9" t="s">
        <v>227</v>
      </c>
      <c r="D25" s="9" t="s">
        <v>228</v>
      </c>
      <c r="E25" s="9" t="s">
        <v>229</v>
      </c>
      <c r="F25" s="4" t="s">
        <v>113</v>
      </c>
      <c r="G25" s="9" t="s">
        <v>77</v>
      </c>
      <c r="H25" s="9" t="s">
        <v>114</v>
      </c>
      <c r="I25" s="9" t="s">
        <v>115</v>
      </c>
      <c r="J25" s="26" t="s">
        <v>232</v>
      </c>
      <c r="K25" s="17" t="s">
        <v>32</v>
      </c>
      <c r="L25" s="17" t="s">
        <v>118</v>
      </c>
      <c r="M25" s="17" t="s">
        <v>4</v>
      </c>
      <c r="N25" s="9"/>
      <c r="O25" s="19"/>
      <c r="P25" s="20" t="str">
        <f aca="false">IF(O25="","",O25-28)</f>
        <v/>
      </c>
      <c r="Q25" s="4" t="str">
        <f aca="true">IF(P25="","",IF(OR(M25="Permit In-Hand",M25="Inspection Scheduled",M25="Complete"),"Have it",P25-TODAY()))</f>
        <v/>
      </c>
      <c r="R25" s="21"/>
      <c r="S25" s="21"/>
      <c r="T25" s="21"/>
      <c r="U25" s="22"/>
      <c r="V25" s="23"/>
      <c r="W25" s="21"/>
      <c r="X25" s="21"/>
      <c r="Y25" s="21"/>
      <c r="Z25" s="9" t="s">
        <v>233</v>
      </c>
    </row>
    <row r="26" customFormat="false" ht="73.5" hidden="false" customHeight="true" outlineLevel="0" collapsed="false">
      <c r="A26" s="4" t="s">
        <v>83</v>
      </c>
      <c r="B26" s="4" t="s">
        <v>234</v>
      </c>
      <c r="C26" s="9" t="s">
        <v>235</v>
      </c>
      <c r="D26" s="9" t="s">
        <v>236</v>
      </c>
      <c r="E26" s="9" t="s">
        <v>237</v>
      </c>
      <c r="F26" s="4" t="s">
        <v>113</v>
      </c>
      <c r="G26" s="9" t="s">
        <v>84</v>
      </c>
      <c r="H26" s="9" t="s">
        <v>238</v>
      </c>
      <c r="I26" s="9" t="s">
        <v>115</v>
      </c>
      <c r="J26" s="16" t="s">
        <v>116</v>
      </c>
      <c r="K26" s="17" t="s">
        <v>117</v>
      </c>
      <c r="L26" s="17" t="s">
        <v>118</v>
      </c>
      <c r="M26" s="17" t="s">
        <v>8</v>
      </c>
      <c r="N26" s="24" t="s">
        <v>155</v>
      </c>
      <c r="O26" s="19"/>
      <c r="P26" s="20" t="str">
        <f aca="false">IF(O26="","",O26-28)</f>
        <v/>
      </c>
      <c r="Q26" s="4" t="str">
        <f aca="true">IF(P26="","",IF(OR(M26="Permit In-Hand",M26="Inspection Scheduled",M26="Complete"),"Have it",P26-TODAY()))</f>
        <v/>
      </c>
      <c r="R26" s="21"/>
      <c r="S26" s="21"/>
      <c r="T26" s="21"/>
      <c r="U26" s="22"/>
      <c r="V26" s="23"/>
      <c r="W26" s="21"/>
      <c r="X26" s="21"/>
      <c r="Y26" s="21"/>
      <c r="Z26" s="9" t="s">
        <v>239</v>
      </c>
    </row>
  </sheetData>
  <autoFilter ref="A1:Z26"/>
  <dataValidations count="5">
    <dataValidation allowBlank="true" errorStyle="stop" operator="between" showDropDown="false" showErrorMessage="false" showInputMessage="false" sqref="M2:M300" type="list">
      <formula1>"Not Started,Submitted to Hash,Hash Submitted Confirmed,In Progress,Permit In-Hand,Inspection Scheduled,Complete,On Hold,Rejected"</formula1>
      <formula2>0</formula2>
    </dataValidation>
    <dataValidation allowBlank="true" errorStyle="stop" operator="between" showDropDown="false" showErrorMessage="false" showInputMessage="false" sqref="J2:J300" type="list">
      <formula1>"Electrical,Building,Mechanical,Plumbing,Fire,Zoning,Other"</formula1>
      <formula2>0</formula2>
    </dataValidation>
    <dataValidation allowBlank="true" errorStyle="stop" operator="between" showDropDown="false" showErrorMessage="false" showInputMessage="false" sqref="K2:K300" type="list">
      <formula1>"Hash Construction,RPS,Engineering Firm"</formula1>
      <formula2>0</formula2>
    </dataValidation>
    <dataValidation allowBlank="true" errorStyle="stop" operator="between" showDropDown="false" showErrorMessage="false" showInputMessage="false" sqref="I2:I300" type="list">
      <formula1>"Non-PE Stamped,PE Stamped"</formula1>
      <formula2>0</formula2>
    </dataValidation>
    <dataValidation allowBlank="true" errorStyle="stop" operator="between" showDropDown="false" showErrorMessage="false" showInputMessage="false" sqref="L2:L300" type="list">
      <formula1>"Unknown,Required,Not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240</v>
      </c>
    </row>
    <row r="4" customFormat="false" ht="43.5" hidden="false" customHeight="true" outlineLevel="0" collapsed="false">
      <c r="B4" s="27" t="s">
        <v>241</v>
      </c>
      <c r="C4" s="9" t="s">
        <v>242</v>
      </c>
    </row>
    <row r="5" customFormat="false" ht="43.5" hidden="false" customHeight="true" outlineLevel="0" collapsed="false">
      <c r="B5" s="27" t="s">
        <v>243</v>
      </c>
      <c r="C5" s="9" t="s">
        <v>244</v>
      </c>
    </row>
    <row r="6" customFormat="false" ht="43.5" hidden="false" customHeight="true" outlineLevel="0" collapsed="false">
      <c r="B6" s="27" t="s">
        <v>245</v>
      </c>
      <c r="C6" s="9" t="s">
        <v>246</v>
      </c>
    </row>
    <row r="7" customFormat="false" ht="43.5" hidden="false" customHeight="true" outlineLevel="0" collapsed="false">
      <c r="B7" s="27" t="s">
        <v>247</v>
      </c>
      <c r="C7" s="9" t="s">
        <v>248</v>
      </c>
    </row>
    <row r="8" customFormat="false" ht="43.5" hidden="false" customHeight="true" outlineLevel="0" collapsed="false">
      <c r="B8" s="27" t="s">
        <v>249</v>
      </c>
      <c r="C8" s="9" t="s">
        <v>250</v>
      </c>
    </row>
    <row r="9" customFormat="false" ht="43.5" hidden="false" customHeight="true" outlineLevel="0" collapsed="false">
      <c r="B9" s="27" t="s">
        <v>251</v>
      </c>
      <c r="C9" s="9" t="s">
        <v>252</v>
      </c>
    </row>
    <row r="12" customFormat="false" ht="17.35" hidden="false" customHeight="false" outlineLevel="0" collapsed="false">
      <c r="B12" s="1" t="s">
        <v>253</v>
      </c>
    </row>
    <row r="14" customFormat="false" ht="31.5" hidden="false" customHeight="true" outlineLevel="0" collapsed="false">
      <c r="B14" s="27" t="s">
        <v>4</v>
      </c>
      <c r="C14" s="9" t="s">
        <v>254</v>
      </c>
    </row>
    <row r="15" customFormat="false" ht="31.5" hidden="false" customHeight="true" outlineLevel="0" collapsed="false">
      <c r="B15" s="27" t="s">
        <v>6</v>
      </c>
      <c r="C15" s="9" t="s">
        <v>255</v>
      </c>
    </row>
    <row r="16" customFormat="false" ht="31.5" hidden="false" customHeight="true" outlineLevel="0" collapsed="false">
      <c r="B16" s="27" t="s">
        <v>7</v>
      </c>
      <c r="C16" s="9" t="s">
        <v>256</v>
      </c>
    </row>
    <row r="17" customFormat="false" ht="31.5" hidden="false" customHeight="true" outlineLevel="0" collapsed="false">
      <c r="B17" s="27" t="s">
        <v>8</v>
      </c>
      <c r="C17" s="9" t="s">
        <v>257</v>
      </c>
    </row>
    <row r="18" customFormat="false" ht="31.5" hidden="false" customHeight="true" outlineLevel="0" collapsed="false">
      <c r="B18" s="28" t="s">
        <v>9</v>
      </c>
      <c r="C18" s="18" t="s">
        <v>258</v>
      </c>
    </row>
    <row r="19" customFormat="false" ht="31.5" hidden="false" customHeight="true" outlineLevel="0" collapsed="false">
      <c r="B19" s="27" t="s">
        <v>11</v>
      </c>
      <c r="C19" s="9" t="s">
        <v>259</v>
      </c>
    </row>
    <row r="20" customFormat="false" ht="31.5" hidden="false" customHeight="true" outlineLevel="0" collapsed="false">
      <c r="B20" s="27" t="s">
        <v>18</v>
      </c>
      <c r="C20" s="9" t="s">
        <v>260</v>
      </c>
    </row>
    <row r="21" customFormat="false" ht="31.5" hidden="false" customHeight="true" outlineLevel="0" collapsed="false">
      <c r="B21" s="29" t="s">
        <v>23</v>
      </c>
      <c r="C21" s="25" t="s">
        <v>261</v>
      </c>
    </row>
    <row r="22" customFormat="false" ht="31.5" hidden="false" customHeight="true" outlineLevel="0" collapsed="false">
      <c r="B22" s="29" t="s">
        <v>27</v>
      </c>
      <c r="C22" s="25" t="s">
        <v>262</v>
      </c>
    </row>
    <row r="25" customFormat="false" ht="17.35" hidden="false" customHeight="false" outlineLevel="0" collapsed="false">
      <c r="B25" s="1" t="s">
        <v>263</v>
      </c>
    </row>
    <row r="27" customFormat="false" ht="30" hidden="false" customHeight="true" outlineLevel="0" collapsed="false">
      <c r="B27" s="27" t="s">
        <v>116</v>
      </c>
      <c r="C27" s="9" t="s">
        <v>264</v>
      </c>
    </row>
    <row r="28" customFormat="false" ht="30" hidden="false" customHeight="true" outlineLevel="0" collapsed="false">
      <c r="B28" s="27" t="s">
        <v>170</v>
      </c>
      <c r="C28" s="9" t="s">
        <v>265</v>
      </c>
    </row>
    <row r="29" customFormat="false" ht="30" hidden="false" customHeight="true" outlineLevel="0" collapsed="false">
      <c r="B29" s="27" t="s">
        <v>232</v>
      </c>
      <c r="C29" s="9" t="s">
        <v>266</v>
      </c>
    </row>
    <row r="30" customFormat="false" ht="30" hidden="false" customHeight="true" outlineLevel="0" collapsed="false">
      <c r="B30" s="27" t="s">
        <v>267</v>
      </c>
      <c r="C30" s="9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62"/>
  </cols>
  <sheetData>
    <row r="1" customFormat="false" ht="30" hidden="false" customHeight="true" outlineLevel="0" collapsed="false">
      <c r="A1" s="15" t="s">
        <v>13</v>
      </c>
      <c r="B1" s="15" t="s">
        <v>91</v>
      </c>
      <c r="C1" s="15" t="s">
        <v>269</v>
      </c>
      <c r="D1" s="15" t="s">
        <v>270</v>
      </c>
      <c r="E1" s="15" t="s">
        <v>271</v>
      </c>
      <c r="F1" s="15" t="s">
        <v>272</v>
      </c>
      <c r="G1" s="15" t="s">
        <v>273</v>
      </c>
      <c r="H1" s="15" t="s">
        <v>274</v>
      </c>
      <c r="I1" s="15" t="s">
        <v>275</v>
      </c>
      <c r="J1" s="15" t="s">
        <v>276</v>
      </c>
    </row>
    <row r="2" customFormat="false" ht="43.5" hidden="false" customHeight="true" outlineLevel="0" collapsed="false">
      <c r="A2" s="9" t="s">
        <v>277</v>
      </c>
      <c r="B2" s="9" t="s">
        <v>113</v>
      </c>
      <c r="C2" s="9" t="s">
        <v>278</v>
      </c>
      <c r="D2" s="9"/>
      <c r="E2" s="9" t="s">
        <v>279</v>
      </c>
      <c r="F2" s="9" t="s">
        <v>280</v>
      </c>
      <c r="G2" s="9" t="s">
        <v>281</v>
      </c>
      <c r="H2" s="9"/>
      <c r="I2" s="9"/>
      <c r="J2" s="25" t="s">
        <v>282</v>
      </c>
    </row>
    <row r="3" customFormat="false" ht="43.5" hidden="false" customHeight="true" outlineLevel="0" collapsed="false">
      <c r="A3" s="9" t="s">
        <v>283</v>
      </c>
      <c r="B3" s="9" t="s">
        <v>113</v>
      </c>
      <c r="C3" s="9" t="s">
        <v>284</v>
      </c>
      <c r="D3" s="9"/>
      <c r="E3" s="9" t="s">
        <v>285</v>
      </c>
      <c r="F3" s="9"/>
      <c r="G3" s="9"/>
      <c r="H3" s="9"/>
      <c r="I3" s="9"/>
      <c r="J3" s="25" t="s">
        <v>286</v>
      </c>
    </row>
    <row r="4" customFormat="false" ht="43.5" hidden="false" customHeight="true" outlineLevel="0" collapsed="false">
      <c r="A4" s="9" t="s">
        <v>287</v>
      </c>
      <c r="B4" s="9" t="s">
        <v>113</v>
      </c>
      <c r="C4" s="9" t="s">
        <v>288</v>
      </c>
      <c r="D4" s="9"/>
      <c r="E4" s="9" t="s">
        <v>289</v>
      </c>
      <c r="F4" s="9" t="s">
        <v>290</v>
      </c>
      <c r="G4" s="9" t="s">
        <v>291</v>
      </c>
      <c r="H4" s="9" t="s">
        <v>292</v>
      </c>
      <c r="I4" s="9" t="s">
        <v>293</v>
      </c>
      <c r="J4" s="9" t="s">
        <v>294</v>
      </c>
    </row>
    <row r="5" customFormat="false" ht="43.5" hidden="false" customHeight="true" outlineLevel="0" collapsed="false">
      <c r="A5" s="9" t="s">
        <v>295</v>
      </c>
      <c r="B5" s="9" t="s">
        <v>113</v>
      </c>
      <c r="C5" s="9" t="s">
        <v>296</v>
      </c>
      <c r="D5" s="9" t="s">
        <v>297</v>
      </c>
      <c r="E5" s="9" t="s">
        <v>298</v>
      </c>
      <c r="F5" s="9"/>
      <c r="G5" s="9" t="s">
        <v>299</v>
      </c>
      <c r="H5" s="9"/>
      <c r="I5" s="9"/>
      <c r="J5" s="9" t="s">
        <v>300</v>
      </c>
    </row>
    <row r="6" customFormat="false" ht="43.5" hidden="false" customHeight="true" outlineLevel="0" collapsed="false">
      <c r="A6" s="9" t="s">
        <v>301</v>
      </c>
      <c r="B6" s="9" t="s">
        <v>113</v>
      </c>
      <c r="C6" s="9" t="s">
        <v>302</v>
      </c>
      <c r="D6" s="9"/>
      <c r="E6" s="9" t="s">
        <v>303</v>
      </c>
      <c r="F6" s="9"/>
      <c r="G6" s="9"/>
      <c r="H6" s="9"/>
      <c r="I6" s="9"/>
      <c r="J6" s="9" t="s">
        <v>304</v>
      </c>
    </row>
    <row r="7" customFormat="false" ht="43.5" hidden="false" customHeight="true" outlineLevel="0" collapsed="false">
      <c r="A7" s="9" t="s">
        <v>305</v>
      </c>
      <c r="B7" s="9" t="s">
        <v>113</v>
      </c>
      <c r="C7" s="9" t="s">
        <v>306</v>
      </c>
      <c r="D7" s="9"/>
      <c r="E7" s="9" t="s">
        <v>307</v>
      </c>
      <c r="F7" s="9"/>
      <c r="G7" s="9"/>
      <c r="H7" s="9"/>
      <c r="I7" s="9"/>
      <c r="J7" s="9" t="s">
        <v>308</v>
      </c>
    </row>
    <row r="8" customFormat="false" ht="43.5" hidden="false" customHeight="true" outlineLevel="0" collapsed="false">
      <c r="A8" s="9" t="s">
        <v>309</v>
      </c>
      <c r="B8" s="9" t="s">
        <v>113</v>
      </c>
      <c r="C8" s="9" t="s">
        <v>310</v>
      </c>
      <c r="D8" s="9"/>
      <c r="E8" s="9"/>
      <c r="F8" s="9"/>
      <c r="G8" s="9"/>
      <c r="H8" s="9"/>
      <c r="I8" s="9"/>
      <c r="J8" s="9" t="s">
        <v>311</v>
      </c>
    </row>
    <row r="9" customFormat="false" ht="43.5" hidden="false" customHeight="true" outlineLevel="0" collapsed="false">
      <c r="A9" s="9" t="s">
        <v>312</v>
      </c>
      <c r="B9" s="9" t="s">
        <v>113</v>
      </c>
      <c r="C9" s="9" t="s">
        <v>313</v>
      </c>
      <c r="D9" s="9" t="s">
        <v>314</v>
      </c>
      <c r="E9" s="9" t="s">
        <v>315</v>
      </c>
      <c r="F9" s="9" t="s">
        <v>316</v>
      </c>
      <c r="G9" s="9"/>
      <c r="H9" s="9"/>
      <c r="I9" s="9"/>
      <c r="J9" s="9" t="s">
        <v>317</v>
      </c>
    </row>
    <row r="10" customFormat="false" ht="43.5" hidden="false" customHeight="true" outlineLevel="0" collapsed="false">
      <c r="A10" s="9" t="s">
        <v>318</v>
      </c>
      <c r="B10" s="9" t="s">
        <v>113</v>
      </c>
      <c r="C10" s="9" t="s">
        <v>319</v>
      </c>
      <c r="D10" s="9"/>
      <c r="E10" s="9"/>
      <c r="F10" s="9"/>
      <c r="G10" s="9"/>
      <c r="H10" s="9"/>
      <c r="I10" s="9"/>
      <c r="J10" s="24" t="s">
        <v>320</v>
      </c>
    </row>
    <row r="11" customFormat="false" ht="43.5" hidden="false" customHeight="true" outlineLevel="0" collapsed="false">
      <c r="A11" s="9" t="s">
        <v>321</v>
      </c>
      <c r="B11" s="9" t="s">
        <v>113</v>
      </c>
      <c r="C11" s="9" t="s">
        <v>322</v>
      </c>
      <c r="D11" s="9"/>
      <c r="E11" s="9"/>
      <c r="F11" s="9"/>
      <c r="G11" s="9"/>
      <c r="H11" s="9"/>
      <c r="I11" s="9"/>
      <c r="J11" s="24" t="s">
        <v>323</v>
      </c>
    </row>
    <row r="12" customFormat="false" ht="43.5" hidden="false" customHeight="true" outlineLevel="0" collapsed="false">
      <c r="A12" s="9" t="s">
        <v>324</v>
      </c>
      <c r="B12" s="9" t="s">
        <v>113</v>
      </c>
      <c r="C12" s="9"/>
      <c r="D12" s="9"/>
      <c r="E12" s="9"/>
      <c r="F12" s="9"/>
      <c r="G12" s="9"/>
      <c r="H12" s="9"/>
      <c r="I12" s="9"/>
      <c r="J12" s="24" t="s">
        <v>325</v>
      </c>
    </row>
    <row r="13" customFormat="false" ht="43.5" hidden="false" customHeight="true" outlineLevel="0" collapsed="false">
      <c r="A13" s="9" t="s">
        <v>326</v>
      </c>
      <c r="B13" s="9" t="s">
        <v>149</v>
      </c>
      <c r="C13" s="9" t="s">
        <v>327</v>
      </c>
      <c r="D13" s="9"/>
      <c r="E13" s="9"/>
      <c r="F13" s="9"/>
      <c r="G13" s="9"/>
      <c r="H13" s="9"/>
      <c r="I13" s="9"/>
      <c r="J13" s="24" t="s">
        <v>328</v>
      </c>
    </row>
    <row r="14" customFormat="false" ht="43.5" hidden="false" customHeight="true" outlineLevel="0" collapsed="false">
      <c r="A14" s="9" t="s">
        <v>329</v>
      </c>
      <c r="B14" s="9" t="s">
        <v>149</v>
      </c>
      <c r="C14" s="9" t="s">
        <v>330</v>
      </c>
      <c r="D14" s="9"/>
      <c r="E14" s="9"/>
      <c r="F14" s="9"/>
      <c r="G14" s="9"/>
      <c r="H14" s="9"/>
      <c r="I14" s="9"/>
      <c r="J14" s="24" t="s">
        <v>331</v>
      </c>
    </row>
    <row r="15" customFormat="false" ht="43.5" hidden="false" customHeight="true" outlineLevel="0" collapsed="false">
      <c r="A15" s="9" t="s">
        <v>332</v>
      </c>
      <c r="B15" s="9" t="s">
        <v>161</v>
      </c>
      <c r="C15" s="9"/>
      <c r="D15" s="9"/>
      <c r="E15" s="9"/>
      <c r="F15" s="9"/>
      <c r="G15" s="9"/>
      <c r="H15" s="9"/>
      <c r="I15" s="9"/>
      <c r="J15" s="24" t="s">
        <v>333</v>
      </c>
    </row>
    <row r="16" customFormat="false" ht="43.5" hidden="false" customHeight="true" outlineLevel="0" collapsed="false">
      <c r="A16" s="9" t="s">
        <v>334</v>
      </c>
      <c r="B16" s="9" t="s">
        <v>113</v>
      </c>
      <c r="C16" s="9" t="s">
        <v>335</v>
      </c>
      <c r="D16" s="9"/>
      <c r="E16" s="9" t="s">
        <v>336</v>
      </c>
      <c r="F16" s="9"/>
      <c r="G16" s="9"/>
      <c r="H16" s="9"/>
      <c r="I16" s="9"/>
      <c r="J16" s="9" t="s">
        <v>337</v>
      </c>
    </row>
    <row r="17" customFormat="false" ht="43.5" hidden="false" customHeight="true" outlineLevel="0" collapsed="false">
      <c r="A17" s="9" t="s">
        <v>338</v>
      </c>
      <c r="B17" s="9" t="s">
        <v>113</v>
      </c>
      <c r="C17" s="9" t="s">
        <v>339</v>
      </c>
      <c r="D17" s="9"/>
      <c r="E17" s="9" t="s">
        <v>340</v>
      </c>
      <c r="F17" s="9"/>
      <c r="G17" s="9"/>
      <c r="H17" s="9"/>
      <c r="I17" s="9"/>
      <c r="J17" s="9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44"/>
    <col collapsed="false" customWidth="true" hidden="false" outlineLevel="0" max="6" min="6" style="0" width="62"/>
  </cols>
  <sheetData>
    <row r="1" customFormat="false" ht="15" hidden="false" customHeight="false" outlineLevel="0" collapsed="false">
      <c r="A1" s="15" t="s">
        <v>342</v>
      </c>
      <c r="B1" s="15" t="s">
        <v>87</v>
      </c>
      <c r="C1" s="15" t="s">
        <v>343</v>
      </c>
      <c r="D1" s="15" t="s">
        <v>344</v>
      </c>
      <c r="E1" s="15" t="s">
        <v>345</v>
      </c>
      <c r="F1" s="15" t="s">
        <v>346</v>
      </c>
    </row>
    <row r="2" customFormat="false" ht="30" hidden="false" customHeight="true" outlineLevel="0" collapsed="false">
      <c r="A2" s="8" t="n">
        <v>46231</v>
      </c>
      <c r="B2" s="4" t="s">
        <v>152</v>
      </c>
      <c r="C2" s="9" t="s">
        <v>347</v>
      </c>
      <c r="D2" s="9" t="s">
        <v>348</v>
      </c>
      <c r="E2" s="9" t="s">
        <v>349</v>
      </c>
      <c r="F2" s="9" t="s">
        <v>350</v>
      </c>
    </row>
    <row r="3" customFormat="false" ht="30" hidden="false" customHeight="true" outlineLevel="0" collapsed="false">
      <c r="A3" s="8" t="n">
        <v>46231</v>
      </c>
      <c r="B3" s="4" t="s">
        <v>157</v>
      </c>
      <c r="C3" s="9" t="s">
        <v>347</v>
      </c>
      <c r="D3" s="9" t="s">
        <v>351</v>
      </c>
      <c r="E3" s="9" t="s">
        <v>349</v>
      </c>
      <c r="F3" s="9" t="s">
        <v>350</v>
      </c>
    </row>
    <row r="4" customFormat="false" ht="30" hidden="false" customHeight="true" outlineLevel="0" collapsed="false">
      <c r="A4" s="8" t="n">
        <v>46231</v>
      </c>
      <c r="B4" s="4" t="s">
        <v>164</v>
      </c>
      <c r="C4" s="9" t="s">
        <v>347</v>
      </c>
      <c r="D4" s="9" t="s">
        <v>352</v>
      </c>
      <c r="E4" s="9" t="s">
        <v>349</v>
      </c>
      <c r="F4" s="9" t="s">
        <v>350</v>
      </c>
    </row>
    <row r="5" customFormat="false" ht="30" hidden="false" customHeight="true" outlineLevel="0" collapsed="false">
      <c r="A5" s="8" t="n">
        <v>46231</v>
      </c>
      <c r="B5" s="4" t="s">
        <v>177</v>
      </c>
      <c r="C5" s="9" t="s">
        <v>347</v>
      </c>
      <c r="D5" s="9" t="s">
        <v>353</v>
      </c>
      <c r="E5" s="9" t="s">
        <v>349</v>
      </c>
      <c r="F5" s="9" t="s">
        <v>354</v>
      </c>
    </row>
    <row r="6" customFormat="false" ht="30" hidden="false" customHeight="true" outlineLevel="0" collapsed="false">
      <c r="A6" s="8" t="n">
        <v>46231</v>
      </c>
      <c r="B6" s="4" t="s">
        <v>181</v>
      </c>
      <c r="C6" s="9" t="s">
        <v>347</v>
      </c>
      <c r="D6" s="9" t="s">
        <v>355</v>
      </c>
      <c r="E6" s="9" t="s">
        <v>349</v>
      </c>
      <c r="F6" s="9" t="s">
        <v>354</v>
      </c>
    </row>
    <row r="7" customFormat="false" ht="30" hidden="false" customHeight="true" outlineLevel="0" collapsed="false">
      <c r="A7" s="8" t="n">
        <v>46231</v>
      </c>
      <c r="B7" s="4" t="s">
        <v>187</v>
      </c>
      <c r="C7" s="9" t="s">
        <v>347</v>
      </c>
      <c r="D7" s="9" t="s">
        <v>356</v>
      </c>
      <c r="E7" s="9" t="s">
        <v>349</v>
      </c>
      <c r="F7" s="9" t="s">
        <v>350</v>
      </c>
    </row>
    <row r="8" customFormat="false" ht="30" hidden="false" customHeight="true" outlineLevel="0" collapsed="false">
      <c r="A8" s="8" t="n">
        <v>46231</v>
      </c>
      <c r="B8" s="4" t="s">
        <v>198</v>
      </c>
      <c r="C8" s="9" t="s">
        <v>347</v>
      </c>
      <c r="D8" s="9" t="s">
        <v>357</v>
      </c>
      <c r="E8" s="9" t="s">
        <v>349</v>
      </c>
      <c r="F8" s="9" t="s">
        <v>350</v>
      </c>
    </row>
    <row r="9" customFormat="false" ht="30" hidden="false" customHeight="true" outlineLevel="0" collapsed="false">
      <c r="A9" s="8" t="n">
        <v>46231</v>
      </c>
      <c r="B9" s="4" t="s">
        <v>202</v>
      </c>
      <c r="C9" s="9" t="s">
        <v>347</v>
      </c>
      <c r="D9" s="9" t="s">
        <v>358</v>
      </c>
      <c r="E9" s="9" t="s">
        <v>349</v>
      </c>
      <c r="F9" s="9" t="s">
        <v>350</v>
      </c>
    </row>
    <row r="10" customFormat="false" ht="30" hidden="false" customHeight="true" outlineLevel="0" collapsed="false">
      <c r="A10" s="8" t="n">
        <v>46231</v>
      </c>
      <c r="B10" s="4" t="s">
        <v>207</v>
      </c>
      <c r="C10" s="9" t="s">
        <v>347</v>
      </c>
      <c r="D10" s="9" t="s">
        <v>359</v>
      </c>
      <c r="E10" s="9" t="s">
        <v>349</v>
      </c>
      <c r="F10" s="9" t="s">
        <v>354</v>
      </c>
    </row>
    <row r="11" customFormat="false" ht="30" hidden="false" customHeight="true" outlineLevel="0" collapsed="false">
      <c r="A11" s="8" t="n">
        <v>46231</v>
      </c>
      <c r="B11" s="4" t="s">
        <v>211</v>
      </c>
      <c r="C11" s="9" t="s">
        <v>347</v>
      </c>
      <c r="D11" s="9" t="s">
        <v>360</v>
      </c>
      <c r="E11" s="9" t="s">
        <v>349</v>
      </c>
      <c r="F11" s="9" t="s">
        <v>350</v>
      </c>
    </row>
    <row r="12" customFormat="false" ht="30" hidden="false" customHeight="true" outlineLevel="0" collapsed="false">
      <c r="A12" s="8" t="n">
        <v>46231</v>
      </c>
      <c r="B12" s="4" t="s">
        <v>216</v>
      </c>
      <c r="C12" s="9" t="s">
        <v>347</v>
      </c>
      <c r="D12" s="9" t="s">
        <v>361</v>
      </c>
      <c r="E12" s="9" t="s">
        <v>349</v>
      </c>
      <c r="F12" s="9" t="s">
        <v>350</v>
      </c>
    </row>
    <row r="13" customFormat="false" ht="30" hidden="false" customHeight="true" outlineLevel="0" collapsed="false">
      <c r="A13" s="8" t="n">
        <v>46231</v>
      </c>
      <c r="B13" s="4" t="s">
        <v>362</v>
      </c>
      <c r="C13" s="9" t="s">
        <v>363</v>
      </c>
      <c r="D13" s="9" t="s">
        <v>364</v>
      </c>
      <c r="E13" s="9" t="s">
        <v>365</v>
      </c>
      <c r="F13" s="9"/>
    </row>
    <row r="14" customFormat="false" ht="30" hidden="false" customHeight="true" outlineLevel="0" collapsed="false">
      <c r="A14" s="8" t="n">
        <v>46241</v>
      </c>
      <c r="B14" s="4" t="s">
        <v>226</v>
      </c>
      <c r="C14" s="9" t="s">
        <v>347</v>
      </c>
      <c r="D14" s="9" t="s">
        <v>366</v>
      </c>
      <c r="E14" s="9" t="s">
        <v>367</v>
      </c>
      <c r="F14" s="9" t="s">
        <v>368</v>
      </c>
    </row>
    <row r="15" customFormat="false" ht="30" hidden="false" customHeight="true" outlineLevel="0" collapsed="false">
      <c r="A15" s="8" t="n">
        <v>46241</v>
      </c>
      <c r="B15" s="4" t="s">
        <v>369</v>
      </c>
      <c r="C15" s="9" t="s">
        <v>370</v>
      </c>
      <c r="D15" s="9" t="s">
        <v>371</v>
      </c>
      <c r="E15" s="9" t="s">
        <v>367</v>
      </c>
      <c r="F15" s="9" t="s">
        <v>372</v>
      </c>
    </row>
    <row r="16" customFormat="false" ht="30" hidden="false" customHeight="true" outlineLevel="0" collapsed="false">
      <c r="A16" s="8" t="n">
        <v>46244</v>
      </c>
      <c r="B16" s="4" t="s">
        <v>234</v>
      </c>
      <c r="C16" s="9" t="s">
        <v>373</v>
      </c>
      <c r="D16" s="9" t="s">
        <v>374</v>
      </c>
      <c r="E16" s="9" t="s">
        <v>367</v>
      </c>
      <c r="F16" s="9" t="s">
        <v>375</v>
      </c>
    </row>
    <row r="17" customFormat="false" ht="30" hidden="false" customHeight="true" outlineLevel="0" collapsed="false">
      <c r="A17" s="8" t="n">
        <v>46246</v>
      </c>
      <c r="B17" s="4" t="s">
        <v>221</v>
      </c>
      <c r="C17" s="9" t="s">
        <v>376</v>
      </c>
      <c r="D17" s="9" t="s">
        <v>377</v>
      </c>
      <c r="E17" s="9" t="s">
        <v>367</v>
      </c>
      <c r="F17" s="9" t="s">
        <v>378</v>
      </c>
    </row>
    <row r="18" customFormat="false" ht="30" hidden="false" customHeight="true" outlineLevel="0" collapsed="false">
      <c r="A18" s="8" t="n">
        <v>46246</v>
      </c>
      <c r="B18" s="4" t="s">
        <v>362</v>
      </c>
      <c r="C18" s="9" t="s">
        <v>379</v>
      </c>
      <c r="D18" s="9" t="s">
        <v>380</v>
      </c>
      <c r="E18" s="9" t="s">
        <v>381</v>
      </c>
      <c r="F18" s="9" t="s">
        <v>382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383</v>
      </c>
    </row>
    <row r="4" customFormat="false" ht="15" hidden="false" customHeight="false" outlineLevel="0" collapsed="false">
      <c r="B4" s="30" t="s">
        <v>384</v>
      </c>
      <c r="C4" s="31"/>
    </row>
    <row r="5" customFormat="false" ht="15" hidden="false" customHeight="false" outlineLevel="0" collapsed="false">
      <c r="B5" s="27" t="s">
        <v>385</v>
      </c>
      <c r="C5" s="9" t="s">
        <v>386</v>
      </c>
    </row>
    <row r="6" customFormat="false" ht="15" hidden="false" customHeight="false" outlineLevel="0" collapsed="false">
      <c r="B6" s="27" t="s">
        <v>387</v>
      </c>
      <c r="C6" s="9" t="s">
        <v>388</v>
      </c>
    </row>
    <row r="7" customFormat="false" ht="15" hidden="false" customHeight="false" outlineLevel="0" collapsed="false">
      <c r="B7" s="27" t="s">
        <v>89</v>
      </c>
      <c r="C7" s="9" t="s">
        <v>389</v>
      </c>
    </row>
    <row r="8" customFormat="false" ht="15" hidden="false" customHeight="false" outlineLevel="0" collapsed="false">
      <c r="B8" s="27" t="s">
        <v>390</v>
      </c>
      <c r="C8" s="9" t="s">
        <v>391</v>
      </c>
    </row>
    <row r="9" customFormat="false" ht="15" hidden="false" customHeight="false" outlineLevel="0" collapsed="false">
      <c r="B9" s="27" t="s">
        <v>272</v>
      </c>
      <c r="C9" s="9" t="s">
        <v>392</v>
      </c>
    </row>
    <row r="10" customFormat="false" ht="15" hidden="false" customHeight="false" outlineLevel="0" collapsed="false">
      <c r="B10" s="27" t="s">
        <v>393</v>
      </c>
      <c r="C10" s="9" t="s">
        <v>394</v>
      </c>
    </row>
    <row r="11" customFormat="false" ht="23.85" hidden="false" customHeight="false" outlineLevel="0" collapsed="false">
      <c r="B11" s="27" t="s">
        <v>395</v>
      </c>
      <c r="C11" s="9" t="s">
        <v>396</v>
      </c>
    </row>
    <row r="12" customFormat="false" ht="23.85" hidden="false" customHeight="false" outlineLevel="0" collapsed="false">
      <c r="B12" s="27" t="s">
        <v>397</v>
      </c>
      <c r="C12" s="9" t="s">
        <v>398</v>
      </c>
    </row>
    <row r="14" customFormat="false" ht="15" hidden="false" customHeight="false" outlineLevel="0" collapsed="false">
      <c r="B14" s="30" t="s">
        <v>399</v>
      </c>
      <c r="C14" s="31"/>
    </row>
    <row r="15" customFormat="false" ht="15" hidden="false" customHeight="false" outlineLevel="0" collapsed="false">
      <c r="B15" s="27" t="s">
        <v>385</v>
      </c>
      <c r="C15" s="9" t="s">
        <v>400</v>
      </c>
    </row>
    <row r="16" customFormat="false" ht="15" hidden="false" customHeight="false" outlineLevel="0" collapsed="false">
      <c r="B16" s="27" t="s">
        <v>387</v>
      </c>
      <c r="C16" s="9" t="s">
        <v>401</v>
      </c>
    </row>
    <row r="17" customFormat="false" ht="15" hidden="false" customHeight="false" outlineLevel="0" collapsed="false">
      <c r="B17" s="27" t="s">
        <v>89</v>
      </c>
      <c r="C17" s="9" t="s">
        <v>402</v>
      </c>
    </row>
    <row r="18" customFormat="false" ht="15" hidden="false" customHeight="false" outlineLevel="0" collapsed="false">
      <c r="B18" s="27" t="s">
        <v>390</v>
      </c>
      <c r="C18" s="9" t="s">
        <v>403</v>
      </c>
    </row>
    <row r="19" customFormat="false" ht="15" hidden="false" customHeight="false" outlineLevel="0" collapsed="false">
      <c r="B19" s="27" t="s">
        <v>404</v>
      </c>
      <c r="C19" s="9" t="s">
        <v>405</v>
      </c>
    </row>
    <row r="20" customFormat="false" ht="15" hidden="false" customHeight="false" outlineLevel="0" collapsed="false">
      <c r="B20" s="27" t="s">
        <v>406</v>
      </c>
      <c r="C20" s="9" t="s">
        <v>407</v>
      </c>
    </row>
    <row r="21" customFormat="false" ht="15" hidden="false" customHeight="false" outlineLevel="0" collapsed="false">
      <c r="B21" s="27" t="s">
        <v>408</v>
      </c>
      <c r="C21" s="9" t="s">
        <v>409</v>
      </c>
    </row>
    <row r="22" customFormat="false" ht="15" hidden="false" customHeight="false" outlineLevel="0" collapsed="false">
      <c r="B22" s="27" t="s">
        <v>410</v>
      </c>
      <c r="C22" s="9" t="s">
        <v>411</v>
      </c>
    </row>
    <row r="24" customFormat="false" ht="15" hidden="false" customHeight="false" outlineLevel="0" collapsed="false">
      <c r="B24" s="30" t="s">
        <v>412</v>
      </c>
      <c r="C24" s="31"/>
    </row>
    <row r="25" customFormat="false" ht="15" hidden="false" customHeight="false" outlineLevel="0" collapsed="false">
      <c r="B25" s="27" t="s">
        <v>385</v>
      </c>
      <c r="C25" s="9" t="s">
        <v>413</v>
      </c>
    </row>
    <row r="26" customFormat="false" ht="15" hidden="false" customHeight="false" outlineLevel="0" collapsed="false">
      <c r="B26" s="27" t="s">
        <v>89</v>
      </c>
      <c r="C26" s="9" t="s">
        <v>414</v>
      </c>
    </row>
    <row r="27" customFormat="false" ht="15" hidden="false" customHeight="false" outlineLevel="0" collapsed="false">
      <c r="B27" s="27" t="s">
        <v>390</v>
      </c>
      <c r="C27" s="9" t="s">
        <v>415</v>
      </c>
    </row>
    <row r="28" customFormat="false" ht="15" hidden="false" customHeight="false" outlineLevel="0" collapsed="false">
      <c r="B28" s="27" t="s">
        <v>416</v>
      </c>
      <c r="C28" s="9" t="s">
        <v>417</v>
      </c>
    </row>
    <row r="29" customFormat="false" ht="15" hidden="false" customHeight="false" outlineLevel="0" collapsed="false">
      <c r="B29" s="27" t="s">
        <v>418</v>
      </c>
      <c r="C29" s="9" t="s">
        <v>419</v>
      </c>
    </row>
    <row r="30" customFormat="false" ht="15" hidden="false" customHeight="false" outlineLevel="0" collapsed="false">
      <c r="B30" s="27" t="s">
        <v>406</v>
      </c>
      <c r="C30" s="9" t="s">
        <v>420</v>
      </c>
    </row>
    <row r="31" customFormat="false" ht="15" hidden="false" customHeight="false" outlineLevel="0" collapsed="false">
      <c r="B31" s="27" t="s">
        <v>408</v>
      </c>
      <c r="C31" s="9" t="s">
        <v>421</v>
      </c>
    </row>
    <row r="32" customFormat="false" ht="15" hidden="false" customHeight="false" outlineLevel="0" collapsed="false">
      <c r="B32" s="27" t="s">
        <v>393</v>
      </c>
      <c r="C32" s="9" t="s">
        <v>422</v>
      </c>
    </row>
    <row r="33" customFormat="false" ht="15" hidden="false" customHeight="false" outlineLevel="0" collapsed="false">
      <c r="B33" s="27" t="s">
        <v>423</v>
      </c>
      <c r="C33" s="9" t="s">
        <v>424</v>
      </c>
    </row>
    <row r="35" customFormat="false" ht="15" hidden="false" customHeight="false" outlineLevel="0" collapsed="false">
      <c r="B35" s="30" t="s">
        <v>425</v>
      </c>
      <c r="C35" s="31"/>
    </row>
    <row r="36" customFormat="false" ht="15" hidden="false" customHeight="false" outlineLevel="0" collapsed="false">
      <c r="B36" s="27" t="s">
        <v>93</v>
      </c>
      <c r="C36" s="9" t="s">
        <v>426</v>
      </c>
    </row>
    <row r="37" customFormat="false" ht="15" hidden="false" customHeight="false" outlineLevel="0" collapsed="false">
      <c r="B37" s="27" t="s">
        <v>427</v>
      </c>
      <c r="C37" s="9" t="s">
        <v>428</v>
      </c>
    </row>
    <row r="38" customFormat="false" ht="15" hidden="false" customHeight="false" outlineLevel="0" collapsed="false">
      <c r="B38" s="27" t="s">
        <v>429</v>
      </c>
      <c r="C38" s="9" t="s">
        <v>430</v>
      </c>
    </row>
    <row r="39" customFormat="false" ht="15" hidden="false" customHeight="false" outlineLevel="0" collapsed="false">
      <c r="B39" s="27" t="s">
        <v>431</v>
      </c>
      <c r="C39" s="9" t="s">
        <v>432</v>
      </c>
    </row>
    <row r="40" customFormat="false" ht="15" hidden="false" customHeight="false" outlineLevel="0" collapsed="false">
      <c r="B40" s="27" t="s">
        <v>98</v>
      </c>
      <c r="C40" s="9" t="s">
        <v>433</v>
      </c>
    </row>
    <row r="41" customFormat="false" ht="15" hidden="false" customHeight="false" outlineLevel="0" collapsed="false">
      <c r="B41" s="27" t="s">
        <v>434</v>
      </c>
      <c r="C41" s="9" t="s">
        <v>435</v>
      </c>
    </row>
    <row r="42" customFormat="false" ht="15" hidden="false" customHeight="false" outlineLevel="0" collapsed="false">
      <c r="B42" s="27" t="s">
        <v>436</v>
      </c>
      <c r="C42" s="9" t="s">
        <v>437</v>
      </c>
    </row>
    <row r="43" customFormat="false" ht="15" hidden="false" customHeight="false" outlineLevel="0" collapsed="false">
      <c r="B43" s="27" t="s">
        <v>438</v>
      </c>
      <c r="C43" s="9" t="s">
        <v>439</v>
      </c>
    </row>
    <row r="44" customFormat="false" ht="23.85" hidden="false" customHeight="false" outlineLevel="0" collapsed="false">
      <c r="B44" s="27" t="s">
        <v>440</v>
      </c>
      <c r="C44" s="9" t="s">
        <v>441</v>
      </c>
    </row>
    <row r="45" customFormat="false" ht="15" hidden="false" customHeight="false" outlineLevel="0" collapsed="false">
      <c r="B45" s="27" t="s">
        <v>442</v>
      </c>
      <c r="C45" s="9" t="s">
        <v>443</v>
      </c>
    </row>
    <row r="46" customFormat="false" ht="23.85" hidden="false" customHeight="false" outlineLevel="0" collapsed="false">
      <c r="B46" s="27" t="s">
        <v>444</v>
      </c>
      <c r="C46" s="9" t="s">
        <v>445</v>
      </c>
    </row>
    <row r="47" customFormat="false" ht="46.25" hidden="false" customHeight="false" outlineLevel="0" collapsed="false">
      <c r="B47" s="27" t="s">
        <v>446</v>
      </c>
      <c r="C47" s="9" t="s">
        <v>447</v>
      </c>
    </row>
    <row r="48" customFormat="false" ht="23.85" hidden="false" customHeight="false" outlineLevel="0" collapsed="false">
      <c r="B48" s="27" t="s">
        <v>448</v>
      </c>
      <c r="C48" s="9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2026-08-12T19:52:58Z</dcterms:created>
  <dc:creator>openpyxl</dc:creator>
  <dc:description/>
  <dc:language>en-US</dc:language>
  <cp:lastModifiedBy/>
  <dcterms:modified xsi:type="dcterms:W3CDTF">2026-08-12T19:52:58Z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