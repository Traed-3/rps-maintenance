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andyquinn/Desktop/"/>
    </mc:Choice>
  </mc:AlternateContent>
  <xr:revisionPtr revIDLastSave="0" documentId="13_ncr:1_{DEF714C2-FB77-0944-AF11-6F628E4C7337}" xr6:coauthVersionLast="47" xr6:coauthVersionMax="47" xr10:uidLastSave="{00000000-0000-0000-0000-000000000000}"/>
  <bookViews>
    <workbookView xWindow="8820" yWindow="640" windowWidth="39820" windowHeight="27120" xr2:uid="{00000000-000D-0000-FFFF-FFFF00000000}"/>
  </bookViews>
  <sheets>
    <sheet name="HEADER LABOR AND MATERIAL" sheetId="4" r:id="rId1"/>
    <sheet name="PARTS" sheetId="8" r:id="rId2"/>
    <sheet name="RPS PARTS" sheetId="9" r:id="rId3"/>
    <sheet name="EQUIP" sheetId="11" r:id="rId4"/>
  </sheets>
  <definedNames>
    <definedName name="_xlnm._FilterDatabase" localSheetId="0" hidden="1">'HEADER LABOR AND MATERIAL'!$B$413:$B$421</definedName>
    <definedName name="EQUIPMENT">EQUIP!$A$1:$A$11</definedName>
    <definedName name="PARTS">'RPS PARTS'!$A$2:$A$1368</definedName>
    <definedName name="PARTSCOST">'RPS PARTS'!$A$2:$B$1368</definedName>
    <definedName name="RPSPARTS">PARTS!$A$2:$C$1368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63" i="4" l="1"/>
  <c r="I364" i="4"/>
  <c r="I365" i="4"/>
  <c r="J365" i="4" s="1"/>
  <c r="I366" i="4"/>
  <c r="J366" i="4" s="1"/>
  <c r="I367" i="4"/>
  <c r="I368" i="4"/>
  <c r="I369" i="4"/>
  <c r="J369" i="4" s="1"/>
  <c r="I370" i="4"/>
  <c r="J370" i="4" s="1"/>
  <c r="I371" i="4"/>
  <c r="I372" i="4"/>
  <c r="J372" i="4" s="1"/>
  <c r="I373" i="4"/>
  <c r="J373" i="4" s="1"/>
  <c r="I374" i="4"/>
  <c r="J374" i="4" s="1"/>
  <c r="I375" i="4"/>
  <c r="I376" i="4"/>
  <c r="I377" i="4"/>
  <c r="J377" i="4" s="1"/>
  <c r="I378" i="4"/>
  <c r="J378" i="4" s="1"/>
  <c r="I379" i="4"/>
  <c r="I380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B369" i="4"/>
  <c r="B370" i="4"/>
  <c r="B371" i="4"/>
  <c r="B363" i="4"/>
  <c r="B364" i="4"/>
  <c r="B365" i="4"/>
  <c r="B366" i="4"/>
  <c r="B367" i="4"/>
  <c r="B368" i="4"/>
  <c r="B372" i="4"/>
  <c r="B381" i="4"/>
  <c r="B382" i="4"/>
  <c r="I362" i="4"/>
  <c r="C362" i="4"/>
  <c r="B362" i="4"/>
  <c r="E308" i="4"/>
  <c r="F308" i="4" s="1"/>
  <c r="J308" i="4" s="1"/>
  <c r="E309" i="4"/>
  <c r="F309" i="4" s="1"/>
  <c r="J309" i="4" s="1"/>
  <c r="E310" i="4"/>
  <c r="F310" i="4"/>
  <c r="J310" i="4" s="1"/>
  <c r="E311" i="4"/>
  <c r="F311" i="4" s="1"/>
  <c r="J311" i="4" s="1"/>
  <c r="E312" i="4"/>
  <c r="F312" i="4" s="1"/>
  <c r="J312" i="4" s="1"/>
  <c r="E313" i="4"/>
  <c r="F313" i="4" s="1"/>
  <c r="J313" i="4" s="1"/>
  <c r="E314" i="4"/>
  <c r="F314" i="4" s="1"/>
  <c r="J314" i="4" s="1"/>
  <c r="E315" i="4"/>
  <c r="F315" i="4" s="1"/>
  <c r="J315" i="4" s="1"/>
  <c r="E407" i="4"/>
  <c r="J407" i="4" s="1"/>
  <c r="E408" i="4"/>
  <c r="J408" i="4" s="1"/>
  <c r="E409" i="4"/>
  <c r="J409" i="4" s="1"/>
  <c r="E410" i="4"/>
  <c r="J410" i="4" s="1"/>
  <c r="I388" i="4"/>
  <c r="J388" i="4" s="1"/>
  <c r="I389" i="4"/>
  <c r="J389" i="4"/>
  <c r="I390" i="4"/>
  <c r="J390" i="4" s="1"/>
  <c r="I391" i="4"/>
  <c r="J391" i="4"/>
  <c r="I392" i="4"/>
  <c r="J392" i="4" s="1"/>
  <c r="I393" i="4"/>
  <c r="J393" i="4"/>
  <c r="I394" i="4"/>
  <c r="J394" i="4" s="1"/>
  <c r="J362" i="4"/>
  <c r="F227" i="4"/>
  <c r="G227" i="4" s="1"/>
  <c r="J227" i="4" s="1"/>
  <c r="F228" i="4"/>
  <c r="G228" i="4" s="1"/>
  <c r="J228" i="4" s="1"/>
  <c r="F229" i="4"/>
  <c r="G229" i="4" s="1"/>
  <c r="J229" i="4" s="1"/>
  <c r="F230" i="4"/>
  <c r="G230" i="4" s="1"/>
  <c r="J230" i="4" s="1"/>
  <c r="F231" i="4"/>
  <c r="G231" i="4" s="1"/>
  <c r="J231" i="4" s="1"/>
  <c r="F232" i="4"/>
  <c r="G232" i="4" s="1"/>
  <c r="J232" i="4" s="1"/>
  <c r="F233" i="4"/>
  <c r="G233" i="4" s="1"/>
  <c r="J233" i="4" s="1"/>
  <c r="F234" i="4"/>
  <c r="G234" i="4" s="1"/>
  <c r="J234" i="4" s="1"/>
  <c r="F235" i="4"/>
  <c r="G235" i="4" s="1"/>
  <c r="J235" i="4" s="1"/>
  <c r="F236" i="4"/>
  <c r="G236" i="4" s="1"/>
  <c r="J236" i="4" s="1"/>
  <c r="F237" i="4"/>
  <c r="G237" i="4" s="1"/>
  <c r="J237" i="4" s="1"/>
  <c r="F238" i="4"/>
  <c r="G238" i="4" s="1"/>
  <c r="J238" i="4" s="1"/>
  <c r="F239" i="4"/>
  <c r="G239" i="4" s="1"/>
  <c r="J239" i="4" s="1"/>
  <c r="F240" i="4"/>
  <c r="G240" i="4" s="1"/>
  <c r="J240" i="4" s="1"/>
  <c r="F241" i="4"/>
  <c r="G241" i="4" s="1"/>
  <c r="J241" i="4" s="1"/>
  <c r="F242" i="4"/>
  <c r="G242" i="4" s="1"/>
  <c r="J242" i="4" s="1"/>
  <c r="F243" i="4"/>
  <c r="G243" i="4" s="1"/>
  <c r="J243" i="4" s="1"/>
  <c r="F244" i="4"/>
  <c r="G244" i="4" s="1"/>
  <c r="J244" i="4" s="1"/>
  <c r="F245" i="4"/>
  <c r="G245" i="4" s="1"/>
  <c r="J245" i="4" s="1"/>
  <c r="F246" i="4"/>
  <c r="G246" i="4" s="1"/>
  <c r="J246" i="4" s="1"/>
  <c r="F247" i="4"/>
  <c r="G247" i="4" s="1"/>
  <c r="J247" i="4" s="1"/>
  <c r="F248" i="4"/>
  <c r="G248" i="4" s="1"/>
  <c r="J248" i="4" s="1"/>
  <c r="F249" i="4"/>
  <c r="G249" i="4" s="1"/>
  <c r="J249" i="4" s="1"/>
  <c r="F250" i="4"/>
  <c r="G250" i="4" s="1"/>
  <c r="J250" i="4" s="1"/>
  <c r="F251" i="4"/>
  <c r="G251" i="4" s="1"/>
  <c r="J251" i="4" s="1"/>
  <c r="F253" i="4"/>
  <c r="G253" i="4" s="1"/>
  <c r="J253" i="4" s="1"/>
  <c r="F254" i="4"/>
  <c r="G254" i="4" s="1"/>
  <c r="J254" i="4" s="1"/>
  <c r="F255" i="4"/>
  <c r="G255" i="4" s="1"/>
  <c r="J255" i="4" s="1"/>
  <c r="F256" i="4"/>
  <c r="G256" i="4" s="1"/>
  <c r="J256" i="4" s="1"/>
  <c r="F257" i="4"/>
  <c r="G257" i="4" s="1"/>
  <c r="J257" i="4" s="1"/>
  <c r="F258" i="4"/>
  <c r="G258" i="4" s="1"/>
  <c r="J258" i="4" s="1"/>
  <c r="F259" i="4"/>
  <c r="G259" i="4" s="1"/>
  <c r="J259" i="4" s="1"/>
  <c r="F261" i="4"/>
  <c r="G261" i="4" s="1"/>
  <c r="J261" i="4" s="1"/>
  <c r="F262" i="4"/>
  <c r="G262" i="4" s="1"/>
  <c r="J262" i="4" s="1"/>
  <c r="F263" i="4"/>
  <c r="G263" i="4" s="1"/>
  <c r="J263" i="4" s="1"/>
  <c r="F264" i="4"/>
  <c r="G264" i="4" s="1"/>
  <c r="J264" i="4" s="1"/>
  <c r="F266" i="4"/>
  <c r="G266" i="4" s="1"/>
  <c r="J266" i="4" s="1"/>
  <c r="F267" i="4"/>
  <c r="G267" i="4" s="1"/>
  <c r="J267" i="4" s="1"/>
  <c r="F268" i="4"/>
  <c r="G268" i="4" s="1"/>
  <c r="J268" i="4" s="1"/>
  <c r="F269" i="4"/>
  <c r="G269" i="4" s="1"/>
  <c r="J269" i="4" s="1"/>
  <c r="F270" i="4"/>
  <c r="G270" i="4" s="1"/>
  <c r="J270" i="4" s="1"/>
  <c r="F271" i="4"/>
  <c r="G271" i="4" s="1"/>
  <c r="J271" i="4" s="1"/>
  <c r="F272" i="4"/>
  <c r="G272" i="4" s="1"/>
  <c r="J272" i="4" s="1"/>
  <c r="F273" i="4"/>
  <c r="G273" i="4" s="1"/>
  <c r="J273" i="4" s="1"/>
  <c r="F275" i="4"/>
  <c r="G275" i="4" s="1"/>
  <c r="J275" i="4" s="1"/>
  <c r="F276" i="4"/>
  <c r="G276" i="4" s="1"/>
  <c r="J276" i="4" s="1"/>
  <c r="F277" i="4"/>
  <c r="G277" i="4" s="1"/>
  <c r="J277" i="4" s="1"/>
  <c r="F278" i="4"/>
  <c r="G278" i="4" s="1"/>
  <c r="J278" i="4" s="1"/>
  <c r="F279" i="4"/>
  <c r="G279" i="4" s="1"/>
  <c r="J279" i="4" s="1"/>
  <c r="F280" i="4"/>
  <c r="G280" i="4" s="1"/>
  <c r="J280" i="4" s="1"/>
  <c r="F281" i="4"/>
  <c r="G281" i="4" s="1"/>
  <c r="J281" i="4" s="1"/>
  <c r="F282" i="4"/>
  <c r="G282" i="4" s="1"/>
  <c r="J282" i="4" s="1"/>
  <c r="F284" i="4"/>
  <c r="G284" i="4" s="1"/>
  <c r="J284" i="4" s="1"/>
  <c r="F285" i="4"/>
  <c r="G285" i="4" s="1"/>
  <c r="J285" i="4" s="1"/>
  <c r="F286" i="4"/>
  <c r="G286" i="4" s="1"/>
  <c r="J286" i="4" s="1"/>
  <c r="F287" i="4"/>
  <c r="G287" i="4" s="1"/>
  <c r="J287" i="4" s="1"/>
  <c r="F288" i="4"/>
  <c r="G288" i="4" s="1"/>
  <c r="J288" i="4" s="1"/>
  <c r="F289" i="4"/>
  <c r="G289" i="4" s="1"/>
  <c r="J289" i="4" s="1"/>
  <c r="F291" i="4"/>
  <c r="G291" i="4" s="1"/>
  <c r="J291" i="4" s="1"/>
  <c r="F292" i="4"/>
  <c r="G292" i="4" s="1"/>
  <c r="J292" i="4" s="1"/>
  <c r="F293" i="4"/>
  <c r="G293" i="4" s="1"/>
  <c r="J293" i="4" s="1"/>
  <c r="F294" i="4"/>
  <c r="G294" i="4" s="1"/>
  <c r="J294" i="4" s="1"/>
  <c r="F296" i="4"/>
  <c r="G296" i="4" s="1"/>
  <c r="J296" i="4" s="1"/>
  <c r="F297" i="4"/>
  <c r="G297" i="4" s="1"/>
  <c r="J297" i="4" s="1"/>
  <c r="F300" i="4"/>
  <c r="G300" i="4" s="1"/>
  <c r="J300" i="4" s="1"/>
  <c r="F301" i="4"/>
  <c r="G301" i="4" s="1"/>
  <c r="J301" i="4" s="1"/>
  <c r="F302" i="4"/>
  <c r="G302" i="4" s="1"/>
  <c r="J302" i="4" s="1"/>
  <c r="F303" i="4"/>
  <c r="G303" i="4" s="1"/>
  <c r="J303" i="4" s="1"/>
  <c r="F304" i="4"/>
  <c r="G304" i="4" s="1"/>
  <c r="J304" i="4" s="1"/>
  <c r="E413" i="4"/>
  <c r="J413" i="4" s="1"/>
  <c r="E414" i="4"/>
  <c r="J414" i="4" s="1"/>
  <c r="E415" i="4"/>
  <c r="J415" i="4" s="1"/>
  <c r="E416" i="4"/>
  <c r="J416" i="4" s="1"/>
  <c r="E417" i="4"/>
  <c r="J417" i="4"/>
  <c r="E418" i="4"/>
  <c r="J418" i="4" s="1"/>
  <c r="E419" i="4"/>
  <c r="J419" i="4" s="1"/>
  <c r="E420" i="4"/>
  <c r="J420" i="4" s="1"/>
  <c r="E421" i="4"/>
  <c r="J421" i="4" s="1"/>
  <c r="E422" i="4"/>
  <c r="J422" i="4" s="1"/>
  <c r="E423" i="4"/>
  <c r="J423" i="4" s="1"/>
  <c r="E424" i="4"/>
  <c r="J424" i="4" s="1"/>
  <c r="E425" i="4"/>
  <c r="J425" i="4" s="1"/>
  <c r="E426" i="4"/>
  <c r="J426" i="4" s="1"/>
  <c r="D430" i="4"/>
  <c r="J430" i="4" s="1"/>
  <c r="D431" i="4"/>
  <c r="J431" i="4" s="1"/>
  <c r="D432" i="4"/>
  <c r="J432" i="4" s="1"/>
  <c r="D433" i="4"/>
  <c r="D434" i="4"/>
  <c r="J434" i="4" s="1"/>
  <c r="D435" i="4"/>
  <c r="J435" i="4" s="1"/>
  <c r="D436" i="4"/>
  <c r="D437" i="4"/>
  <c r="J437" i="4" s="1"/>
  <c r="D438" i="4"/>
  <c r="J438" i="4" s="1"/>
  <c r="D439" i="4"/>
  <c r="J439" i="4"/>
  <c r="D440" i="4"/>
  <c r="J440" i="4" s="1"/>
  <c r="D441" i="4"/>
  <c r="J441" i="4" s="1"/>
  <c r="D442" i="4"/>
  <c r="J442" i="4" s="1"/>
  <c r="D443" i="4"/>
  <c r="D444" i="4"/>
  <c r="J444" i="4" s="1"/>
  <c r="D445" i="4"/>
  <c r="J445" i="4" s="1"/>
  <c r="D446" i="4"/>
  <c r="J446" i="4" s="1"/>
  <c r="D447" i="4"/>
  <c r="J447" i="4" s="1"/>
  <c r="D448" i="4"/>
  <c r="J448" i="4" s="1"/>
  <c r="D449" i="4"/>
  <c r="J449" i="4" s="1"/>
  <c r="D450" i="4"/>
  <c r="J450" i="4" s="1"/>
  <c r="D451" i="4"/>
  <c r="J451" i="4" s="1"/>
  <c r="D452" i="4"/>
  <c r="J452" i="4" s="1"/>
  <c r="D453" i="4"/>
  <c r="J453" i="4" s="1"/>
  <c r="F136" i="4"/>
  <c r="G136" i="4" s="1"/>
  <c r="J136" i="4" s="1"/>
  <c r="F137" i="4"/>
  <c r="G137" i="4"/>
  <c r="J137" i="4" s="1"/>
  <c r="F139" i="4"/>
  <c r="G139" i="4" s="1"/>
  <c r="J139" i="4" s="1"/>
  <c r="F140" i="4"/>
  <c r="G140" i="4"/>
  <c r="J140" i="4" s="1"/>
  <c r="F141" i="4"/>
  <c r="G141" i="4" s="1"/>
  <c r="J141" i="4" s="1"/>
  <c r="F142" i="4"/>
  <c r="G142" i="4"/>
  <c r="J142" i="4" s="1"/>
  <c r="F143" i="4"/>
  <c r="G143" i="4" s="1"/>
  <c r="J143" i="4" s="1"/>
  <c r="F144" i="4"/>
  <c r="G144" i="4" s="1"/>
  <c r="J144" i="4" s="1"/>
  <c r="F145" i="4"/>
  <c r="G145" i="4"/>
  <c r="J145" i="4" s="1"/>
  <c r="F146" i="4"/>
  <c r="G146" i="4" s="1"/>
  <c r="J146" i="4" s="1"/>
  <c r="F147" i="4"/>
  <c r="G147" i="4" s="1"/>
  <c r="J147" i="4" s="1"/>
  <c r="F148" i="4"/>
  <c r="G148" i="4" s="1"/>
  <c r="J148" i="4" s="1"/>
  <c r="F149" i="4"/>
  <c r="G149" i="4" s="1"/>
  <c r="J149" i="4" s="1"/>
  <c r="F150" i="4"/>
  <c r="G150" i="4" s="1"/>
  <c r="J150" i="4" s="1"/>
  <c r="F152" i="4"/>
  <c r="G152" i="4" s="1"/>
  <c r="J152" i="4" s="1"/>
  <c r="F153" i="4"/>
  <c r="G153" i="4" s="1"/>
  <c r="J153" i="4" s="1"/>
  <c r="F154" i="4"/>
  <c r="G154" i="4" s="1"/>
  <c r="J154" i="4" s="1"/>
  <c r="F155" i="4"/>
  <c r="G155" i="4" s="1"/>
  <c r="J155" i="4" s="1"/>
  <c r="F156" i="4"/>
  <c r="G156" i="4" s="1"/>
  <c r="J156" i="4" s="1"/>
  <c r="F157" i="4"/>
  <c r="G157" i="4" s="1"/>
  <c r="J157" i="4" s="1"/>
  <c r="F158" i="4"/>
  <c r="G158" i="4" s="1"/>
  <c r="J158" i="4" s="1"/>
  <c r="F159" i="4"/>
  <c r="G159" i="4"/>
  <c r="J159" i="4" s="1"/>
  <c r="F160" i="4"/>
  <c r="G160" i="4" s="1"/>
  <c r="J160" i="4" s="1"/>
  <c r="F161" i="4"/>
  <c r="G161" i="4" s="1"/>
  <c r="J161" i="4" s="1"/>
  <c r="F162" i="4"/>
  <c r="G162" i="4"/>
  <c r="J162" i="4" s="1"/>
  <c r="F163" i="4"/>
  <c r="G163" i="4" s="1"/>
  <c r="J163" i="4" s="1"/>
  <c r="F164" i="4"/>
  <c r="G164" i="4" s="1"/>
  <c r="J164" i="4" s="1"/>
  <c r="F165" i="4"/>
  <c r="G165" i="4" s="1"/>
  <c r="J165" i="4" s="1"/>
  <c r="F166" i="4"/>
  <c r="G166" i="4" s="1"/>
  <c r="J166" i="4" s="1"/>
  <c r="F167" i="4"/>
  <c r="G167" i="4" s="1"/>
  <c r="J167" i="4" s="1"/>
  <c r="F168" i="4"/>
  <c r="G168" i="4" s="1"/>
  <c r="J168" i="4" s="1"/>
  <c r="F170" i="4"/>
  <c r="G170" i="4" s="1"/>
  <c r="J170" i="4" s="1"/>
  <c r="F171" i="4"/>
  <c r="G171" i="4" s="1"/>
  <c r="J171" i="4" s="1"/>
  <c r="F172" i="4"/>
  <c r="G172" i="4" s="1"/>
  <c r="J172" i="4" s="1"/>
  <c r="F173" i="4"/>
  <c r="G173" i="4" s="1"/>
  <c r="J173" i="4" s="1"/>
  <c r="F174" i="4"/>
  <c r="G174" i="4"/>
  <c r="J174" i="4" s="1"/>
  <c r="F175" i="4"/>
  <c r="G175" i="4" s="1"/>
  <c r="J175" i="4" s="1"/>
  <c r="F176" i="4"/>
  <c r="G176" i="4"/>
  <c r="J176" i="4" s="1"/>
  <c r="F178" i="4"/>
  <c r="G178" i="4" s="1"/>
  <c r="J178" i="4" s="1"/>
  <c r="F179" i="4"/>
  <c r="G179" i="4" s="1"/>
  <c r="J179" i="4" s="1"/>
  <c r="F180" i="4"/>
  <c r="G180" i="4" s="1"/>
  <c r="J180" i="4" s="1"/>
  <c r="F181" i="4"/>
  <c r="G181" i="4" s="1"/>
  <c r="J181" i="4" s="1"/>
  <c r="F182" i="4"/>
  <c r="G182" i="4" s="1"/>
  <c r="J182" i="4" s="1"/>
  <c r="F183" i="4"/>
  <c r="G183" i="4" s="1"/>
  <c r="J183" i="4" s="1"/>
  <c r="J185" i="4"/>
  <c r="F15" i="4"/>
  <c r="G15" i="4" s="1"/>
  <c r="J15" i="4" s="1"/>
  <c r="F16" i="4"/>
  <c r="G16" i="4" s="1"/>
  <c r="J16" i="4" s="1"/>
  <c r="F17" i="4"/>
  <c r="G17" i="4" s="1"/>
  <c r="J17" i="4" s="1"/>
  <c r="F18" i="4"/>
  <c r="G18" i="4" s="1"/>
  <c r="J18" i="4" s="1"/>
  <c r="F19" i="4"/>
  <c r="G19" i="4" s="1"/>
  <c r="J19" i="4" s="1"/>
  <c r="F20" i="4"/>
  <c r="G20" i="4" s="1"/>
  <c r="J20" i="4" s="1"/>
  <c r="F21" i="4"/>
  <c r="G21" i="4" s="1"/>
  <c r="J21" i="4" s="1"/>
  <c r="F22" i="4"/>
  <c r="G22" i="4" s="1"/>
  <c r="J22" i="4" s="1"/>
  <c r="F23" i="4"/>
  <c r="G23" i="4" s="1"/>
  <c r="J23" i="4" s="1"/>
  <c r="F24" i="4"/>
  <c r="G24" i="4"/>
  <c r="J24" i="4"/>
  <c r="F25" i="4"/>
  <c r="G25" i="4" s="1"/>
  <c r="J25" i="4" s="1"/>
  <c r="F26" i="4"/>
  <c r="G26" i="4" s="1"/>
  <c r="J26" i="4" s="1"/>
  <c r="F27" i="4"/>
  <c r="G27" i="4"/>
  <c r="J27" i="4" s="1"/>
  <c r="F28" i="4"/>
  <c r="G28" i="4" s="1"/>
  <c r="J28" i="4" s="1"/>
  <c r="F29" i="4"/>
  <c r="G29" i="4" s="1"/>
  <c r="J29" i="4" s="1"/>
  <c r="F30" i="4"/>
  <c r="G30" i="4" s="1"/>
  <c r="J30" i="4" s="1"/>
  <c r="F31" i="4"/>
  <c r="G31" i="4" s="1"/>
  <c r="J31" i="4" s="1"/>
  <c r="F32" i="4"/>
  <c r="G32" i="4" s="1"/>
  <c r="J32" i="4" s="1"/>
  <c r="F33" i="4"/>
  <c r="G33" i="4" s="1"/>
  <c r="J33" i="4" s="1"/>
  <c r="F34" i="4"/>
  <c r="G34" i="4" s="1"/>
  <c r="J34" i="4" s="1"/>
  <c r="F35" i="4"/>
  <c r="G35" i="4"/>
  <c r="J35" i="4" s="1"/>
  <c r="F36" i="4"/>
  <c r="G36" i="4" s="1"/>
  <c r="J36" i="4" s="1"/>
  <c r="F37" i="4"/>
  <c r="G37" i="4" s="1"/>
  <c r="J37" i="4" s="1"/>
  <c r="F38" i="4"/>
  <c r="G38" i="4" s="1"/>
  <c r="J38" i="4" s="1"/>
  <c r="F39" i="4"/>
  <c r="G39" i="4" s="1"/>
  <c r="J39" i="4" s="1"/>
  <c r="F40" i="4"/>
  <c r="G40" i="4"/>
  <c r="J40" i="4" s="1"/>
  <c r="F41" i="4"/>
  <c r="G41" i="4" s="1"/>
  <c r="J41" i="4" s="1"/>
  <c r="F42" i="4"/>
  <c r="G42" i="4" s="1"/>
  <c r="J42" i="4" s="1"/>
  <c r="F43" i="4"/>
  <c r="G43" i="4" s="1"/>
  <c r="J43" i="4" s="1"/>
  <c r="F44" i="4"/>
  <c r="G44" i="4" s="1"/>
  <c r="J44" i="4" s="1"/>
  <c r="F45" i="4"/>
  <c r="G45" i="4" s="1"/>
  <c r="J45" i="4" s="1"/>
  <c r="F46" i="4"/>
  <c r="G46" i="4" s="1"/>
  <c r="J46" i="4" s="1"/>
  <c r="F47" i="4"/>
  <c r="G47" i="4"/>
  <c r="J47" i="4" s="1"/>
  <c r="F48" i="4"/>
  <c r="G48" i="4" s="1"/>
  <c r="J48" i="4" s="1"/>
  <c r="F49" i="4"/>
  <c r="G49" i="4" s="1"/>
  <c r="J49" i="4" s="1"/>
  <c r="F50" i="4"/>
  <c r="G50" i="4" s="1"/>
  <c r="J50" i="4" s="1"/>
  <c r="J51" i="4"/>
  <c r="F52" i="4"/>
  <c r="G52" i="4" s="1"/>
  <c r="J52" i="4" s="1"/>
  <c r="F53" i="4"/>
  <c r="G53" i="4" s="1"/>
  <c r="J53" i="4" s="1"/>
  <c r="F54" i="4"/>
  <c r="G54" i="4"/>
  <c r="J54" i="4" s="1"/>
  <c r="F55" i="4"/>
  <c r="G55" i="4" s="1"/>
  <c r="J55" i="4" s="1"/>
  <c r="F56" i="4"/>
  <c r="G56" i="4" s="1"/>
  <c r="J56" i="4" s="1"/>
  <c r="F57" i="4"/>
  <c r="G57" i="4" s="1"/>
  <c r="J57" i="4" s="1"/>
  <c r="F58" i="4"/>
  <c r="G58" i="4" s="1"/>
  <c r="J58" i="4" s="1"/>
  <c r="F59" i="4"/>
  <c r="G59" i="4" s="1"/>
  <c r="J59" i="4" s="1"/>
  <c r="F60" i="4"/>
  <c r="G60" i="4" s="1"/>
  <c r="J60" i="4" s="1"/>
  <c r="F61" i="4"/>
  <c r="G61" i="4" s="1"/>
  <c r="J61" i="4" s="1"/>
  <c r="F62" i="4"/>
  <c r="G62" i="4" s="1"/>
  <c r="J62" i="4" s="1"/>
  <c r="F63" i="4"/>
  <c r="G63" i="4" s="1"/>
  <c r="J63" i="4" s="1"/>
  <c r="F64" i="4"/>
  <c r="G64" i="4" s="1"/>
  <c r="J64" i="4" s="1"/>
  <c r="J66" i="4"/>
  <c r="J67" i="4"/>
  <c r="F69" i="4"/>
  <c r="G69" i="4" s="1"/>
  <c r="J69" i="4" s="1"/>
  <c r="F70" i="4"/>
  <c r="G70" i="4" s="1"/>
  <c r="J70" i="4" s="1"/>
  <c r="F71" i="4"/>
  <c r="G71" i="4" s="1"/>
  <c r="J71" i="4" s="1"/>
  <c r="F72" i="4"/>
  <c r="G72" i="4" s="1"/>
  <c r="J72" i="4" s="1"/>
  <c r="F73" i="4"/>
  <c r="G73" i="4" s="1"/>
  <c r="J73" i="4" s="1"/>
  <c r="F74" i="4"/>
  <c r="G74" i="4" s="1"/>
  <c r="J74" i="4" s="1"/>
  <c r="F75" i="4"/>
  <c r="G75" i="4"/>
  <c r="J75" i="4" s="1"/>
  <c r="F76" i="4"/>
  <c r="G76" i="4" s="1"/>
  <c r="J76" i="4" s="1"/>
  <c r="F77" i="4"/>
  <c r="G77" i="4" s="1"/>
  <c r="J77" i="4" s="1"/>
  <c r="F78" i="4"/>
  <c r="G78" i="4" s="1"/>
  <c r="J78" i="4" s="1"/>
  <c r="F79" i="4"/>
  <c r="G79" i="4" s="1"/>
  <c r="J79" i="4" s="1"/>
  <c r="F80" i="4"/>
  <c r="G80" i="4" s="1"/>
  <c r="J80" i="4" s="1"/>
  <c r="F81" i="4"/>
  <c r="G81" i="4" s="1"/>
  <c r="J81" i="4" s="1"/>
  <c r="F82" i="4"/>
  <c r="G82" i="4" s="1"/>
  <c r="J82" i="4" s="1"/>
  <c r="F84" i="4"/>
  <c r="G84" i="4" s="1"/>
  <c r="J84" i="4" s="1"/>
  <c r="F85" i="4"/>
  <c r="G85" i="4"/>
  <c r="J85" i="4" s="1"/>
  <c r="F86" i="4"/>
  <c r="G86" i="4" s="1"/>
  <c r="J86" i="4" s="1"/>
  <c r="F87" i="4"/>
  <c r="G87" i="4" s="1"/>
  <c r="J87" i="4" s="1"/>
  <c r="F88" i="4"/>
  <c r="G88" i="4" s="1"/>
  <c r="J88" i="4" s="1"/>
  <c r="F89" i="4"/>
  <c r="G89" i="4"/>
  <c r="J89" i="4" s="1"/>
  <c r="F90" i="4"/>
  <c r="G90" i="4" s="1"/>
  <c r="J90" i="4" s="1"/>
  <c r="F91" i="4"/>
  <c r="G91" i="4" s="1"/>
  <c r="J91" i="4" s="1"/>
  <c r="F92" i="4"/>
  <c r="G92" i="4" s="1"/>
  <c r="J92" i="4" s="1"/>
  <c r="F93" i="4"/>
  <c r="G93" i="4" s="1"/>
  <c r="J93" i="4" s="1"/>
  <c r="F95" i="4"/>
  <c r="G95" i="4" s="1"/>
  <c r="J95" i="4" s="1"/>
  <c r="F96" i="4"/>
  <c r="G96" i="4" s="1"/>
  <c r="J96" i="4" s="1"/>
  <c r="F97" i="4"/>
  <c r="G97" i="4" s="1"/>
  <c r="J97" i="4" s="1"/>
  <c r="F100" i="4"/>
  <c r="G100" i="4" s="1"/>
  <c r="J100" i="4" s="1"/>
  <c r="F118" i="4"/>
  <c r="G118" i="4" s="1"/>
  <c r="J118" i="4" s="1"/>
  <c r="F119" i="4"/>
  <c r="G119" i="4" s="1"/>
  <c r="J119" i="4" s="1"/>
  <c r="F120" i="4"/>
  <c r="G120" i="4" s="1"/>
  <c r="J120" i="4" s="1"/>
  <c r="F121" i="4"/>
  <c r="G121" i="4" s="1"/>
  <c r="J121" i="4" s="1"/>
  <c r="F122" i="4"/>
  <c r="G122" i="4" s="1"/>
  <c r="J122" i="4" s="1"/>
  <c r="F125" i="4"/>
  <c r="G125" i="4" s="1"/>
  <c r="J125" i="4" s="1"/>
  <c r="F126" i="4"/>
  <c r="G126" i="4" s="1"/>
  <c r="J126" i="4" s="1"/>
  <c r="F127" i="4"/>
  <c r="G127" i="4" s="1"/>
  <c r="J127" i="4" s="1"/>
  <c r="F128" i="4"/>
  <c r="G128" i="4" s="1"/>
  <c r="J128" i="4" s="1"/>
  <c r="F129" i="4"/>
  <c r="G129" i="4" s="1"/>
  <c r="J129" i="4" s="1"/>
  <c r="F130" i="4"/>
  <c r="G130" i="4" s="1"/>
  <c r="J130" i="4" s="1"/>
  <c r="F131" i="4"/>
  <c r="G131" i="4" s="1"/>
  <c r="J131" i="4" s="1"/>
  <c r="F132" i="4"/>
  <c r="G132" i="4" s="1"/>
  <c r="J132" i="4" s="1"/>
  <c r="E204" i="4"/>
  <c r="F204" i="4" s="1"/>
  <c r="H204" i="4" s="1"/>
  <c r="J204" i="4" s="1"/>
  <c r="E188" i="4"/>
  <c r="F188" i="4" s="1"/>
  <c r="H188" i="4" s="1"/>
  <c r="J188" i="4" s="1"/>
  <c r="E189" i="4"/>
  <c r="F189" i="4" s="1"/>
  <c r="H189" i="4" s="1"/>
  <c r="J189" i="4" s="1"/>
  <c r="E190" i="4"/>
  <c r="F190" i="4" s="1"/>
  <c r="H190" i="4" s="1"/>
  <c r="J190" i="4" s="1"/>
  <c r="E191" i="4"/>
  <c r="F191" i="4" s="1"/>
  <c r="H191" i="4" s="1"/>
  <c r="J191" i="4" s="1"/>
  <c r="E192" i="4"/>
  <c r="F192" i="4" s="1"/>
  <c r="H192" i="4" s="1"/>
  <c r="J192" i="4" s="1"/>
  <c r="E193" i="4"/>
  <c r="F193" i="4" s="1"/>
  <c r="H193" i="4" s="1"/>
  <c r="J193" i="4" s="1"/>
  <c r="E194" i="4"/>
  <c r="F194" i="4" s="1"/>
  <c r="H194" i="4" s="1"/>
  <c r="J194" i="4" s="1"/>
  <c r="E195" i="4"/>
  <c r="F195" i="4" s="1"/>
  <c r="H195" i="4" s="1"/>
  <c r="J195" i="4" s="1"/>
  <c r="E196" i="4"/>
  <c r="F196" i="4" s="1"/>
  <c r="H196" i="4" s="1"/>
  <c r="J196" i="4" s="1"/>
  <c r="E197" i="4"/>
  <c r="F197" i="4" s="1"/>
  <c r="H197" i="4" s="1"/>
  <c r="J197" i="4" s="1"/>
  <c r="E198" i="4"/>
  <c r="F198" i="4" s="1"/>
  <c r="H198" i="4" s="1"/>
  <c r="J198" i="4" s="1"/>
  <c r="E199" i="4"/>
  <c r="F199" i="4" s="1"/>
  <c r="H199" i="4" s="1"/>
  <c r="J199" i="4" s="1"/>
  <c r="E200" i="4"/>
  <c r="F200" i="4" s="1"/>
  <c r="H200" i="4" s="1"/>
  <c r="J200" i="4" s="1"/>
  <c r="E201" i="4"/>
  <c r="F201" i="4" s="1"/>
  <c r="H201" i="4" s="1"/>
  <c r="J201" i="4" s="1"/>
  <c r="E202" i="4"/>
  <c r="F202" i="4" s="1"/>
  <c r="H202" i="4" s="1"/>
  <c r="J202" i="4" s="1"/>
  <c r="E203" i="4"/>
  <c r="F203" i="4" s="1"/>
  <c r="H203" i="4" s="1"/>
  <c r="J203" i="4" s="1"/>
  <c r="E205" i="4"/>
  <c r="F205" i="4" s="1"/>
  <c r="H205" i="4" s="1"/>
  <c r="J205" i="4" s="1"/>
  <c r="E206" i="4"/>
  <c r="F206" i="4" s="1"/>
  <c r="H206" i="4" s="1"/>
  <c r="J206" i="4" s="1"/>
  <c r="E207" i="4"/>
  <c r="F207" i="4" s="1"/>
  <c r="H207" i="4" s="1"/>
  <c r="J207" i="4" s="1"/>
  <c r="E208" i="4"/>
  <c r="F208" i="4" s="1"/>
  <c r="H208" i="4" s="1"/>
  <c r="J208" i="4" s="1"/>
  <c r="E209" i="4"/>
  <c r="F209" i="4" s="1"/>
  <c r="H209" i="4" s="1"/>
  <c r="J209" i="4" s="1"/>
  <c r="E210" i="4"/>
  <c r="F210" i="4" s="1"/>
  <c r="H210" i="4" s="1"/>
  <c r="J210" i="4" s="1"/>
  <c r="E211" i="4"/>
  <c r="F211" i="4" s="1"/>
  <c r="H211" i="4" s="1"/>
  <c r="J211" i="4" s="1"/>
  <c r="E212" i="4"/>
  <c r="F212" i="4" s="1"/>
  <c r="H212" i="4" s="1"/>
  <c r="J212" i="4" s="1"/>
  <c r="E213" i="4"/>
  <c r="F213" i="4" s="1"/>
  <c r="H213" i="4" s="1"/>
  <c r="J213" i="4" s="1"/>
  <c r="E214" i="4"/>
  <c r="F214" i="4" s="1"/>
  <c r="H214" i="4" s="1"/>
  <c r="J214" i="4" s="1"/>
  <c r="F215" i="4"/>
  <c r="G215" i="4" s="1"/>
  <c r="J215" i="4" s="1"/>
  <c r="F216" i="4"/>
  <c r="G216" i="4" s="1"/>
  <c r="J216" i="4" s="1"/>
  <c r="F217" i="4"/>
  <c r="G217" i="4" s="1"/>
  <c r="J217" i="4" s="1"/>
  <c r="F218" i="4"/>
  <c r="G218" i="4" s="1"/>
  <c r="J218" i="4" s="1"/>
  <c r="F219" i="4"/>
  <c r="G219" i="4" s="1"/>
  <c r="J219" i="4" s="1"/>
  <c r="F220" i="4"/>
  <c r="G220" i="4" s="1"/>
  <c r="J220" i="4" s="1"/>
  <c r="F221" i="4"/>
  <c r="G221" i="4" s="1"/>
  <c r="J221" i="4" s="1"/>
  <c r="F222" i="4"/>
  <c r="G222" i="4" s="1"/>
  <c r="J222" i="4" s="1"/>
  <c r="J363" i="4"/>
  <c r="J364" i="4"/>
  <c r="J367" i="4"/>
  <c r="J368" i="4"/>
  <c r="J371" i="4"/>
  <c r="J375" i="4"/>
  <c r="J376" i="4"/>
  <c r="J379" i="4"/>
  <c r="J380" i="4"/>
  <c r="I381" i="4"/>
  <c r="J381" i="4" s="1"/>
  <c r="I382" i="4"/>
  <c r="J382" i="4" s="1"/>
  <c r="I383" i="4"/>
  <c r="J383" i="4" s="1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99" i="4"/>
  <c r="J401" i="4"/>
  <c r="J403" i="4"/>
  <c r="J400" i="4"/>
  <c r="J402" i="4"/>
  <c r="C381" i="4"/>
  <c r="F104" i="4"/>
  <c r="G104" i="4" s="1"/>
  <c r="J104" i="4" s="1"/>
  <c r="F105" i="4"/>
  <c r="G105" i="4" s="1"/>
  <c r="J105" i="4" s="1"/>
  <c r="F106" i="4"/>
  <c r="G106" i="4" s="1"/>
  <c r="J106" i="4" s="1"/>
  <c r="F107" i="4"/>
  <c r="G107" i="4" s="1"/>
  <c r="J107" i="4" s="1"/>
  <c r="F108" i="4"/>
  <c r="G108" i="4" s="1"/>
  <c r="J108" i="4" s="1"/>
  <c r="F109" i="4"/>
  <c r="G109" i="4" s="1"/>
  <c r="J109" i="4" s="1"/>
  <c r="F110" i="4"/>
  <c r="G110" i="4" s="1"/>
  <c r="J110" i="4" s="1"/>
  <c r="F111" i="4"/>
  <c r="G111" i="4" s="1"/>
  <c r="J111" i="4" s="1"/>
  <c r="C440" i="4"/>
  <c r="B389" i="4"/>
  <c r="B390" i="4"/>
  <c r="B391" i="4"/>
  <c r="B392" i="4"/>
  <c r="B393" i="4"/>
  <c r="B394" i="4"/>
  <c r="B388" i="4"/>
  <c r="C389" i="4"/>
  <c r="C390" i="4"/>
  <c r="C391" i="4"/>
  <c r="C392" i="4"/>
  <c r="C393" i="4"/>
  <c r="C394" i="4"/>
  <c r="C388" i="4"/>
  <c r="C382" i="4"/>
  <c r="C383" i="4"/>
  <c r="J384" i="4"/>
  <c r="J385" i="4"/>
  <c r="B385" i="4"/>
  <c r="B384" i="4"/>
  <c r="F113" i="4"/>
  <c r="F112" i="4"/>
  <c r="G112" i="4" s="1"/>
  <c r="J112" i="4" s="1"/>
  <c r="F99" i="4"/>
  <c r="G99" i="4" s="1"/>
  <c r="F299" i="4"/>
  <c r="G299" i="4" s="1"/>
  <c r="F101" i="4"/>
  <c r="G101" i="4" s="1"/>
  <c r="J101" i="4" s="1"/>
  <c r="F102" i="4"/>
  <c r="G102" i="4" s="1"/>
  <c r="J102" i="4" s="1"/>
  <c r="F103" i="4"/>
  <c r="G103" i="4" s="1"/>
  <c r="J103" i="4" s="1"/>
  <c r="C400" i="4"/>
  <c r="C401" i="4"/>
  <c r="C402" i="4"/>
  <c r="C403" i="4"/>
  <c r="C404" i="4"/>
  <c r="C399" i="4"/>
  <c r="C431" i="4"/>
  <c r="C432" i="4"/>
  <c r="C433" i="4"/>
  <c r="C434" i="4"/>
  <c r="C435" i="4"/>
  <c r="C436" i="4"/>
  <c r="C437" i="4"/>
  <c r="C438" i="4"/>
  <c r="C439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30" i="4"/>
  <c r="J321" i="4"/>
  <c r="J331" i="4" s="1"/>
  <c r="G295" i="4"/>
  <c r="G290" i="4"/>
  <c r="G283" i="4"/>
  <c r="G274" i="4"/>
  <c r="G265" i="4"/>
  <c r="F94" i="4"/>
  <c r="G94" i="4" s="1"/>
  <c r="J433" i="4" l="1"/>
  <c r="J443" i="4"/>
  <c r="J436" i="4"/>
  <c r="J454" i="4" s="1"/>
  <c r="J427" i="4"/>
  <c r="J395" i="4"/>
  <c r="J405" i="4"/>
  <c r="J133" i="4"/>
  <c r="J223" i="4"/>
  <c r="J114" i="4"/>
  <c r="G113" i="4"/>
  <c r="J113" i="4" s="1"/>
  <c r="J316" i="4"/>
  <c r="J123" i="4"/>
  <c r="J305" i="4"/>
  <c r="J186" i="4"/>
  <c r="J411" i="4"/>
  <c r="J359" i="4"/>
  <c r="J386" i="4"/>
  <c r="J396" i="4" s="1"/>
  <c r="I386" i="4"/>
  <c r="J457" i="4" l="1"/>
  <c r="J455" i="4"/>
  <c r="J459" i="4" s="1"/>
  <c r="J456" i="4"/>
  <c r="J458" i="4" l="1"/>
  <c r="J460" i="4" s="1"/>
</calcChain>
</file>

<file path=xl/sharedStrings.xml><?xml version="1.0" encoding="utf-8"?>
<sst xmlns="http://schemas.openxmlformats.org/spreadsheetml/2006/main" count="4662" uniqueCount="4511">
  <si>
    <t xml:space="preserve"> </t>
  </si>
  <si>
    <t>ADDRESS</t>
  </si>
  <si>
    <t>UNIT</t>
  </si>
  <si>
    <t>DATE</t>
  </si>
  <si>
    <t>RATE</t>
  </si>
  <si>
    <t>WEEK</t>
  </si>
  <si>
    <t>DAY</t>
  </si>
  <si>
    <t>TOTAL INVOICE:</t>
  </si>
  <si>
    <t>SR#</t>
  </si>
  <si>
    <t>SERVICE RATE</t>
  </si>
  <si>
    <t>SKID STEER / FORKS</t>
  </si>
  <si>
    <t>BREAKER ATTACHMENT</t>
  </si>
  <si>
    <t>CONCRETE SAW/DIAMOND BLDE</t>
  </si>
  <si>
    <t xml:space="preserve">TOTAL </t>
  </si>
  <si>
    <t>CUSTOMER</t>
  </si>
  <si>
    <t>SITE #</t>
  </si>
  <si>
    <t>CITY, STATE</t>
  </si>
  <si>
    <t>INVOICE DATE:</t>
  </si>
  <si>
    <t>INVOICE NUMBER:</t>
  </si>
  <si>
    <t>PROJECT MANAGER</t>
  </si>
  <si>
    <t>PART #</t>
  </si>
  <si>
    <t>DESCRIPTION</t>
  </si>
  <si>
    <t>CURRENT PRICING</t>
  </si>
  <si>
    <t>Freight</t>
  </si>
  <si>
    <t>Amount</t>
  </si>
  <si>
    <t>Sell Price</t>
  </si>
  <si>
    <t>3/4 INCH GALV AND EXPLOSION PROOF</t>
  </si>
  <si>
    <t>BBDX1</t>
  </si>
  <si>
    <t>1LB DUCK SEAL</t>
  </si>
  <si>
    <t>CBCHICOA19PX</t>
  </si>
  <si>
    <t>SEAL COMP</t>
  </si>
  <si>
    <t>CBCHICOA3</t>
  </si>
  <si>
    <t>1LB SEAL COMP - CHICO</t>
  </si>
  <si>
    <t>CBEYS21</t>
  </si>
  <si>
    <t>3/4 FEM COND SEAL - SEAL OFF</t>
  </si>
  <si>
    <t>CBGUP214</t>
  </si>
  <si>
    <t>GUP214 JCT BOX - LARGE J-BOX</t>
  </si>
  <si>
    <t>CBLBY25</t>
  </si>
  <si>
    <t>3/4 90D COND ELL - PULL 90</t>
  </si>
  <si>
    <t>CBOELB2</t>
  </si>
  <si>
    <t>3/4 OELB COND BODY&amp;CVR    L-BOX</t>
  </si>
  <si>
    <t>CBPLG2</t>
  </si>
  <si>
    <t>3/4 RECES PLUG</t>
  </si>
  <si>
    <t>CBRE21</t>
  </si>
  <si>
    <t xml:space="preserve">3/4X1/2 REDUCER BUSHING </t>
  </si>
  <si>
    <t>CBRE32</t>
  </si>
  <si>
    <t>1X3/4 RED</t>
  </si>
  <si>
    <t>CBUNF205</t>
  </si>
  <si>
    <t>3/4 FEM UNION</t>
  </si>
  <si>
    <t>CBUNY205</t>
  </si>
  <si>
    <t>3/4 MALE UNION</t>
  </si>
  <si>
    <t>CF3/4GACP</t>
  </si>
  <si>
    <t>3/4XCL GALV COND NIPPLE</t>
  </si>
  <si>
    <t>CF3/4X2GANIP</t>
  </si>
  <si>
    <t>3/4X2 GALV COND NIPPLE</t>
  </si>
  <si>
    <t>CF3/4X3GANIP</t>
  </si>
  <si>
    <t>3/4X3 GALV COND NIPPLE</t>
  </si>
  <si>
    <t>CF3/4X4GANIP</t>
  </si>
  <si>
    <t>3/4X4 GALV COND NIPPLE</t>
  </si>
  <si>
    <t>CF3/4X5GANIP</t>
  </si>
  <si>
    <t>3/4X5 GALV COND NIPPLE</t>
  </si>
  <si>
    <t>CF3/4X6GANIP</t>
  </si>
  <si>
    <t>3/4X6 GALV COND NIPPLE</t>
  </si>
  <si>
    <t>CF3/4X8GANIP</t>
  </si>
  <si>
    <t>3/4X8GALV COND NIPPLE</t>
  </si>
  <si>
    <t>CF3/4X10GANIP</t>
  </si>
  <si>
    <t>3/4X10 GALV COND NIPPLE</t>
  </si>
  <si>
    <t>3/4" GALV COUPL</t>
  </si>
  <si>
    <t>CO3/4GA</t>
  </si>
  <si>
    <t>3/4" GALVANIZED CONDUIT</t>
  </si>
  <si>
    <t>PV3/4</t>
  </si>
  <si>
    <t>3/4" PVC CONDUIT SCH 40</t>
  </si>
  <si>
    <t>ID30071</t>
  </si>
  <si>
    <t>SIZE 71B GRY WIRECONN</t>
  </si>
  <si>
    <t>ID30072</t>
  </si>
  <si>
    <t>SIZE 72B BLU WIRECONN</t>
  </si>
  <si>
    <t>ID30073</t>
  </si>
  <si>
    <t>SIZE 73B ORG WIRECONN</t>
  </si>
  <si>
    <t>PV3/4FTA</t>
  </si>
  <si>
    <t>3/4" PVC FEMALE ADAPTER</t>
  </si>
  <si>
    <t>THREADED CONDUIT BUSHING 3/4"</t>
  </si>
  <si>
    <t>THREADED CONDUIT BUSHING - 3/4</t>
  </si>
  <si>
    <t>RIGID SWEEP 90</t>
  </si>
  <si>
    <t>PVC COATED CONDUIT</t>
  </si>
  <si>
    <t xml:space="preserve">ROB ROY </t>
  </si>
  <si>
    <t>3/4" FLEXIBLE CONNECTOR ELBOW</t>
  </si>
  <si>
    <t>3/4 FLEX CONDUIT CONNECTOR ELBOW 90</t>
  </si>
  <si>
    <t>3/4 INCH ALUMINUM FLEXIBLE COND</t>
  </si>
  <si>
    <t>FLEXIBLE CONDUIT - 3/4" ALUM -PER FT</t>
  </si>
  <si>
    <t>EMT 3/4 AND 1 INCH</t>
  </si>
  <si>
    <t>10 FOOT STICK 1" EMT</t>
  </si>
  <si>
    <t>EMT CONDUIT 10 FOOT - 1 INCH</t>
  </si>
  <si>
    <t xml:space="preserve">10 FOOT STICK 3/4" EMT </t>
  </si>
  <si>
    <t>3/4 INCH 10FT STEEL EMT</t>
  </si>
  <si>
    <t>3/4" BOX CONNECTOR-COMPRESSION</t>
  </si>
  <si>
    <t>3/4 EMT COMPRESSION J BOX CONNECTOR</t>
  </si>
  <si>
    <t>3/4" COMPRESSION COUPLING</t>
  </si>
  <si>
    <t>3/4 EMT COMPRESSION COUPLING</t>
  </si>
  <si>
    <t>3/4" COMP COUPLING - RAIN TIGHT</t>
  </si>
  <si>
    <t>3/4" RAIN TIGHT COMPRESSION COUPLING</t>
  </si>
  <si>
    <t>EMT PULL 90 3/4"</t>
  </si>
  <si>
    <t>EMT PULL 90 - 3/4 - RAINT TIGHT</t>
  </si>
  <si>
    <t>EMT 3/4 STRAP</t>
  </si>
  <si>
    <t>3/4" STRAP</t>
  </si>
  <si>
    <t>ORBOF7712</t>
  </si>
  <si>
    <t>EMT STEEL SET SCREW COUPLING</t>
  </si>
  <si>
    <t>SC500SC</t>
  </si>
  <si>
    <t>1/4" BEAM CLAMP 20TPI</t>
  </si>
  <si>
    <t>CF3/4EMTEL</t>
  </si>
  <si>
    <t>3/4" EMT ELBOW 90DEG</t>
  </si>
  <si>
    <t>SCBU502</t>
  </si>
  <si>
    <t xml:space="preserve">3/4" 105D PLASTIC BUSHING </t>
  </si>
  <si>
    <t>3/4" EMT SWEEP 90</t>
  </si>
  <si>
    <t xml:space="preserve">3/4" SWEEP 90 </t>
  </si>
  <si>
    <t>EXPLOSION PROOF ERICKSON</t>
  </si>
  <si>
    <t xml:space="preserve">1 INCH FLEXIBLE / GALVANIZED AND EXPLOSION PROOF </t>
  </si>
  <si>
    <t>EYS31</t>
  </si>
  <si>
    <t>1" EXPLOSION PROOF SEAL OFF</t>
  </si>
  <si>
    <t>UNF305</t>
  </si>
  <si>
    <t>1" STEEL FEMALE CONDUIT UNION</t>
  </si>
  <si>
    <t>1" BOX CONNECT-FLEXIBLE</t>
  </si>
  <si>
    <t xml:space="preserve">1" BOX CONNECTORS-FLEXIBLE </t>
  </si>
  <si>
    <t xml:space="preserve">1" FLEXIBLE CONDUIT </t>
  </si>
  <si>
    <t>FLEXIBLE CONDUIT - 1" - 50 FOOT</t>
  </si>
  <si>
    <t>1"X6" GALV NIPPLE</t>
  </si>
  <si>
    <t>1"XCLOSE</t>
  </si>
  <si>
    <t>1" X CLOSE GALVANIZED NIPPLE</t>
  </si>
  <si>
    <t>100GC</t>
  </si>
  <si>
    <t>1 " GALV COUPLING</t>
  </si>
  <si>
    <t>1"X2" GALV NIPPLE</t>
  </si>
  <si>
    <t>1" X 2" GALVANIZED NIPPLE</t>
  </si>
  <si>
    <t>1"x3" GALV NIPPLE</t>
  </si>
  <si>
    <t>1" CONDUIT STRAPS</t>
  </si>
  <si>
    <t>SCBU503</t>
  </si>
  <si>
    <t>1" 105DF PLASTIC BUSHING</t>
  </si>
  <si>
    <t>MISC ELECTRICAL  SUPPLIES</t>
  </si>
  <si>
    <t>PULL STRING</t>
  </si>
  <si>
    <t>PULL STRING - CAPITAL ELECTRIC - 2200'</t>
  </si>
  <si>
    <t>SCXC272</t>
  </si>
  <si>
    <t>3/4 D/C SQZ FLEX CONN</t>
  </si>
  <si>
    <t>2" U-BOLTS</t>
  </si>
  <si>
    <t xml:space="preserve">3" UNISTRUT CLAMPS </t>
  </si>
  <si>
    <t>3" UNISTRUT CLAMPS FOR SMART SENSORS</t>
  </si>
  <si>
    <t xml:space="preserve">2" UNISTRUT CLAMPS </t>
  </si>
  <si>
    <t>2" UNISTRUT CLAMPS FOR SENSORS</t>
  </si>
  <si>
    <t>UNISTRUT PER FOOT</t>
  </si>
  <si>
    <t>HOASG6X6X4NK</t>
  </si>
  <si>
    <t>PULL BOX 6X6X4</t>
  </si>
  <si>
    <t>PSF6C - CADDY</t>
  </si>
  <si>
    <t>6X4.8" ROOFTOP SYS FIXED STRUT SUPPORT</t>
  </si>
  <si>
    <t>RX21H51</t>
  </si>
  <si>
    <t>RAINTIGHT DEV BOX 2 GANG 5 HOLE</t>
  </si>
  <si>
    <t>AFI CG75K</t>
  </si>
  <si>
    <t>3/4IN CORD CONN KIT .125-.880</t>
  </si>
  <si>
    <t xml:space="preserve">MULB 30283 </t>
  </si>
  <si>
    <t>WP BLANK CVR</t>
  </si>
  <si>
    <t>MULB 30242</t>
  </si>
  <si>
    <t>WP ALUM BOX W/LUG</t>
  </si>
  <si>
    <t>240'SW WIRE FISHTAPE</t>
  </si>
  <si>
    <t>240' FISHTAPE - CLEAR CONDUIT</t>
  </si>
  <si>
    <t>CBPLG1</t>
  </si>
  <si>
    <t>1/2 RECES PLUG</t>
  </si>
  <si>
    <t>CURRENT PRICE</t>
  </si>
  <si>
    <t>CUTHN 12G WIRE - BLACK</t>
  </si>
  <si>
    <t>12 GAUGE STRANDED WIRE - BLACK 500 FT</t>
  </si>
  <si>
    <t>CUTHN 12G WIRE - GREEN</t>
  </si>
  <si>
    <t>12 GUAGE STRANDED WIRE - GREEN 500 FT</t>
  </si>
  <si>
    <t>CUTHN 12G WIRE - WHITE</t>
  </si>
  <si>
    <t>12 GUAGE STRANDED WIRE - WHITE 500 FT</t>
  </si>
  <si>
    <t xml:space="preserve">3601218-1P STR TFFN 600V Pur-Ylw    </t>
  </si>
  <si>
    <t>7-11 Spec 18g Twisted "DATA WIRE" - per ft</t>
  </si>
  <si>
    <t>WCW7931AFEQ</t>
  </si>
  <si>
    <t>7-11 Approved CAT6 Belden Equivalent-per ft</t>
  </si>
  <si>
    <t>X-779132-001</t>
  </si>
  <si>
    <t>BELDEN 7931A -1 7-11 REQ UNTIL 4/1/20</t>
  </si>
  <si>
    <t>WCW88760FEQ</t>
  </si>
  <si>
    <t>VEEDER ROOT WIRE - BELDEN 88760 EQ</t>
  </si>
  <si>
    <t>X-806609-001  DATA WIRE 12-14 TPF</t>
  </si>
  <si>
    <t>TEAS6S-RD-100 - Red / White - ROLL 1000'</t>
  </si>
  <si>
    <t>X-806609-002  DATA WIRE 12-14 TPF</t>
  </si>
  <si>
    <t>TEAS6S-BL-100 - Black / White -ROLL 1000'</t>
  </si>
  <si>
    <t>X-832902-016 4 COND INTERCOM</t>
  </si>
  <si>
    <t>4 CONDUCTOR BELDEN 9402 EQ INTERCOM</t>
  </si>
  <si>
    <t>Fergusons / Plumbing Supply</t>
  </si>
  <si>
    <t>1 " BLK ML PLUG</t>
  </si>
  <si>
    <t>1 1/2 INCH</t>
  </si>
  <si>
    <t>IBNJCL</t>
  </si>
  <si>
    <t>1.5"xCLOSE BLK NIPPLE</t>
  </si>
  <si>
    <t>IBNKM</t>
  </si>
  <si>
    <t>1.5"X 3" BLK NIPPLE</t>
  </si>
  <si>
    <t>1.5" X 4" BLK NIPPLE</t>
  </si>
  <si>
    <t>1.5" X 4.5" BLK NIPPLE</t>
  </si>
  <si>
    <t>1.5" x 5" BLK NIPPLE</t>
  </si>
  <si>
    <t>1.5" x 5.5" BLK NIPPLE</t>
  </si>
  <si>
    <t>1.5" X 6" BLK NIPPLE</t>
  </si>
  <si>
    <t>1.5" X 8" BLK NIPPLE</t>
  </si>
  <si>
    <t>1.5" X 10" BLK NIPPLE</t>
  </si>
  <si>
    <t>1.5" X 12" BLK NIPPLE</t>
  </si>
  <si>
    <t>2 INCH</t>
  </si>
  <si>
    <t xml:space="preserve">BCK </t>
  </si>
  <si>
    <t>2 BLK MI 150# COUP</t>
  </si>
  <si>
    <t>IBNKL</t>
  </si>
  <si>
    <t>2X2-1/2 BLK STL NIP</t>
  </si>
  <si>
    <t>IBNKCL</t>
  </si>
  <si>
    <t>2XCLOSE BLK STL NIP</t>
  </si>
  <si>
    <t>IBNKR</t>
  </si>
  <si>
    <t>2X4" BLK STL NIPPLE</t>
  </si>
  <si>
    <t>IBBKD</t>
  </si>
  <si>
    <t>2X4.5" BLK STL NIPPLE</t>
  </si>
  <si>
    <t>IB4K</t>
  </si>
  <si>
    <t>2" 45 ELBOW</t>
  </si>
  <si>
    <t>IB150UK</t>
  </si>
  <si>
    <t>2" BLK STL UNION 150#</t>
  </si>
  <si>
    <t>IBTK</t>
  </si>
  <si>
    <t>2" BLK STL 150# TEE</t>
  </si>
  <si>
    <t>IB9K</t>
  </si>
  <si>
    <t>2" BLK STL 150# 90 ELBOW</t>
  </si>
  <si>
    <t>FERGUSON RECEIPT</t>
  </si>
  <si>
    <t>2" GALV ELBOW</t>
  </si>
  <si>
    <t xml:space="preserve">4 INCH </t>
  </si>
  <si>
    <t>IBCP</t>
  </si>
  <si>
    <t>4" BLACK STEEL COUPLING 150#</t>
  </si>
  <si>
    <t>IBNP12</t>
  </si>
  <si>
    <t>4" X 12" BLK STL NIPPLE</t>
  </si>
  <si>
    <t>4" X 36" BLK STL NIPPLE</t>
  </si>
  <si>
    <t>ICON</t>
  </si>
  <si>
    <t>ISR 2.0X2.0A</t>
  </si>
  <si>
    <t>SPLIT REDUCER</t>
  </si>
  <si>
    <t>IAC IBOND50FS</t>
  </si>
  <si>
    <t>BONDING AGENT FAST SET</t>
  </si>
  <si>
    <t>IRI 3.5xplug</t>
  </si>
  <si>
    <t>PLUG</t>
  </si>
  <si>
    <t>IRI 2.4x2.0</t>
  </si>
  <si>
    <t xml:space="preserve">Reducing boot </t>
  </si>
  <si>
    <t>IRF 4 B1.4</t>
  </si>
  <si>
    <t>4 Bolt split repair conduit boot</t>
  </si>
  <si>
    <t>IRF 4B1.0</t>
  </si>
  <si>
    <t>4 Bolt Slit Conduit Repair Boot small</t>
  </si>
  <si>
    <t>IRF 8B3.5</t>
  </si>
  <si>
    <t>8Bolt Split Flange Repair Boot</t>
  </si>
  <si>
    <t>IRF 8B2.5OS</t>
  </si>
  <si>
    <t>8 Bolt Repair Boot - off set</t>
  </si>
  <si>
    <t>IRF 8B2.5</t>
  </si>
  <si>
    <t>8 bolt repair boot</t>
  </si>
  <si>
    <t>IRF 4B1.4NG</t>
  </si>
  <si>
    <t xml:space="preserve">4 Bolt Angled Conduit Entry Boot </t>
  </si>
  <si>
    <t>IRF 8B2.0</t>
  </si>
  <si>
    <t>8 BOLT REPAIR BOOT</t>
  </si>
  <si>
    <t>ISR 2.5x2.5A</t>
  </si>
  <si>
    <t xml:space="preserve">Split Test Boot </t>
  </si>
  <si>
    <t>IRF 10B4.5U</t>
  </si>
  <si>
    <t>10 BOLT ENCAPSULATION</t>
  </si>
  <si>
    <t>IRF TCI-MMC4.5</t>
  </si>
  <si>
    <t>TCI VAPOR ENCAPSULATION</t>
  </si>
  <si>
    <t>IRI 4.5X3.7OS</t>
  </si>
  <si>
    <t>INSERT OFFSET</t>
  </si>
  <si>
    <t>IRI 4.5X2.5OS</t>
  </si>
  <si>
    <t>IAC FAST FIX XL</t>
  </si>
  <si>
    <t>FAST FIX PATCH FOR FG CONV</t>
  </si>
  <si>
    <t>IAC FAST FOAM</t>
  </si>
  <si>
    <t>FAST FOAM</t>
  </si>
  <si>
    <t>IRI 4.5X2.25OS</t>
  </si>
  <si>
    <t>IAC FASTFUSE</t>
  </si>
  <si>
    <t>ICON SPLIT REPAIR GLUE</t>
  </si>
  <si>
    <t>IRI 4.5X2.0</t>
  </si>
  <si>
    <t>SPLIT REPAIR INSERT</t>
  </si>
  <si>
    <t xml:space="preserve">IRI 4.5X2.5 </t>
  </si>
  <si>
    <t xml:space="preserve">ISR 2.0X2.0 </t>
  </si>
  <si>
    <t>IAC PFUSE250</t>
  </si>
  <si>
    <t>POLY FUSE - LARGE 250ML</t>
  </si>
  <si>
    <t>IRF RIGID 1.4</t>
  </si>
  <si>
    <t>RIGID BONDED KIT</t>
  </si>
  <si>
    <t>IRI 4.5X2.0OS</t>
  </si>
  <si>
    <t>SPLIT REPAIR OFFSET</t>
  </si>
  <si>
    <t>SIKAFLEX</t>
  </si>
  <si>
    <t xml:space="preserve">SIKAFLEX </t>
  </si>
  <si>
    <t>IAC FFOAM50</t>
  </si>
  <si>
    <t>FAST FOAM - SMALL CARTRIDGE 50ML</t>
  </si>
  <si>
    <t>IAC WETWELD</t>
  </si>
  <si>
    <t>WATER BLOCKER - EPOXY</t>
  </si>
  <si>
    <t>IAC IBOND50H2O</t>
  </si>
  <si>
    <t>BONDING AGENT UNDERWATER</t>
  </si>
  <si>
    <t xml:space="preserve">IAC FASTFILL </t>
  </si>
  <si>
    <t>FASTFILL RAPID FILLER</t>
  </si>
  <si>
    <t>250ML POLYFUSION CARTRIDGE</t>
  </si>
  <si>
    <t>IAC FIBERGUSE</t>
  </si>
  <si>
    <t>20 OZ GASKET SEALER KIT</t>
  </si>
  <si>
    <t>IAC PS200</t>
  </si>
  <si>
    <t>PETRO SEAL FASKET SEALANT</t>
  </si>
  <si>
    <t>OPW SPILL BUCKETS. LINERS, AND MANHOLES AND ASSOCIATED PARTS</t>
  </si>
  <si>
    <t>1C-3112D</t>
  </si>
  <si>
    <t>OPW DW Edge Bucket with Drain (Fill)</t>
  </si>
  <si>
    <t>1C-3112P</t>
  </si>
  <si>
    <t>OPW DW Edge Bucket with Plug (Vapor)</t>
  </si>
  <si>
    <t>202135-KIT</t>
  </si>
  <si>
    <t>OPW DW EDGE PRIMARY LINER KIT, DRAIN</t>
  </si>
  <si>
    <t>202136-KIT</t>
  </si>
  <si>
    <t>OPW DW EDGE PRIMARY LINER KIT, PLUG</t>
  </si>
  <si>
    <t>61SALP-1020-EVR</t>
  </si>
  <si>
    <t>4" BRASS SWIVEL ADAPTER - FILL</t>
  </si>
  <si>
    <t>61VSA-1020-EVR</t>
  </si>
  <si>
    <t>4" BRASS VAPOR ADAPTER</t>
  </si>
  <si>
    <t>634TT-7085-EVR</t>
  </si>
  <si>
    <t>4" FILL CAP</t>
  </si>
  <si>
    <t>1DK-2100-EVR</t>
  </si>
  <si>
    <t>DRAIN KIT</t>
  </si>
  <si>
    <t>1711-7085-RVT</t>
  </si>
  <si>
    <t>3" ORANGE VAPOR CAP</t>
  </si>
  <si>
    <t>106N-1100</t>
  </si>
  <si>
    <t>#1 Identification Marker(Manufactured by OPW Fueling Components) - Supplier Part Number 106N-1100</t>
  </si>
  <si>
    <t>106N-2200</t>
  </si>
  <si>
    <t>#2 Identification Marker(Manufactured by OPW Fueling Components) - Supplier Part Number 106N-2200</t>
  </si>
  <si>
    <t>106U-0125</t>
  </si>
  <si>
    <t>Unleaded Identification Marker(Manufactured by OPW Fueling Components) - Supplier Part Number 106U-0125</t>
  </si>
  <si>
    <t>1TAG-1000</t>
  </si>
  <si>
    <t>Identification Tag Unleaded For Spill Bucket Lid(Manufactured by OPW Fueling Components) - Supplier Part Number 1TAG-1000</t>
  </si>
  <si>
    <t>1TAG-1010</t>
  </si>
  <si>
    <t>Identification Tag Unleaded For Inside Spill Bucket(Manufactured by OPW Fueling Components) - Supplier Part Number 1TAG-1010</t>
  </si>
  <si>
    <t>106P-0150</t>
  </si>
  <si>
    <t>Premium Identification Marker(Manufactured by OPW Fueling Components) - Supplier Part Number 106P-0150</t>
  </si>
  <si>
    <t>1TAG-3000</t>
  </si>
  <si>
    <t>Identification Tag Premium For Spill Bucket Lid(Manufactured by OPW Fueling Components) - Supplier Part Number 1TAG-3000</t>
  </si>
  <si>
    <t>FSA - EDGE BUCKET ADAPTER - SHORT</t>
  </si>
  <si>
    <t>FSA - EDGE BUCKET ADAPTER - TALL</t>
  </si>
  <si>
    <t>FSA-400S</t>
  </si>
  <si>
    <t>FACE SEAL ADAPTER - SHORT</t>
  </si>
  <si>
    <t>FSA-400</t>
  </si>
  <si>
    <t>FACE SEAL ADAPTER - LONG</t>
  </si>
  <si>
    <t>104A-1800WT</t>
  </si>
  <si>
    <t>18" MANHOLE - WATERTIGHT</t>
  </si>
  <si>
    <t>104A-1200</t>
  </si>
  <si>
    <t>12" ID CAST IRON MANHOLE</t>
  </si>
  <si>
    <t>104A-1800</t>
  </si>
  <si>
    <t xml:space="preserve">18' MANHOLE </t>
  </si>
  <si>
    <t>OPW FLEXWORKS</t>
  </si>
  <si>
    <t>DPC-2150A</t>
  </si>
  <si>
    <t>1.5" DW COUPLING (SWAGE FITTING)</t>
  </si>
  <si>
    <t>SBC-2150</t>
  </si>
  <si>
    <t>1.5" DW SWIVEL BOLT ON COUPLING</t>
  </si>
  <si>
    <t>TTT-2536</t>
  </si>
  <si>
    <t>TEST TUBE TERMINATION KIT - FLEXWORKS</t>
  </si>
  <si>
    <t xml:space="preserve">SMA-1520 </t>
  </si>
  <si>
    <t>2" X 1.5" MOTOR ADAPTER</t>
  </si>
  <si>
    <t>OPW</t>
  </si>
  <si>
    <t>10P-0152</t>
  </si>
  <si>
    <t>1.5" 10 PLUS DP SHEAR VALVE</t>
  </si>
  <si>
    <t>71SO-410C</t>
  </si>
  <si>
    <t>DROP TUBE W/OVERFILL VALVE 10 FOOT</t>
  </si>
  <si>
    <t>61JSK-44CB</t>
  </si>
  <si>
    <t>JACK SCREW KIT IRON BASE</t>
  </si>
  <si>
    <t>71SO-400C</t>
  </si>
  <si>
    <t>DROP TUBE W/OVERFILL VALVE 8 FOOT</t>
  </si>
  <si>
    <t>UNIVERSAL</t>
  </si>
  <si>
    <t>303-1515</t>
  </si>
  <si>
    <t>1.5" Offset - 1.5"</t>
  </si>
  <si>
    <t>303-1520</t>
  </si>
  <si>
    <t>1.5" Offset - 2"</t>
  </si>
  <si>
    <t>303-1525</t>
  </si>
  <si>
    <t>1.5" Offset - 2.5"</t>
  </si>
  <si>
    <t>303-1530</t>
  </si>
  <si>
    <t>1.5" Offset - 3"</t>
  </si>
  <si>
    <t>NOV FIBERGLASS</t>
  </si>
  <si>
    <t>AM 2" PRIMARY SLEEVE COUPLING</t>
  </si>
  <si>
    <t xml:space="preserve">AM 2" PRIMARY PIPE PER FOOT </t>
  </si>
  <si>
    <t>013030-191-4</t>
  </si>
  <si>
    <t>SM 2" PRIMARY ADAPT BELL X MALE NPT</t>
  </si>
  <si>
    <t>012020-180-4</t>
  </si>
  <si>
    <t>2" END CAP</t>
  </si>
  <si>
    <t>3" PRIMARY END CAP</t>
  </si>
  <si>
    <t>PSX20 ADHESIVE KIT - 5OZ SINGLE</t>
  </si>
  <si>
    <t>AM 3" FRP PIPE - PER FOOT</t>
  </si>
  <si>
    <t>BRAVO</t>
  </si>
  <si>
    <t>RF-07-01-U</t>
  </si>
  <si>
    <t>BRAVO CONDUIT ENTRY FITTING - SPLIT</t>
  </si>
  <si>
    <t>RF-100 EPOXY KIT</t>
  </si>
  <si>
    <t>BRAVO 7OZ EPOXY KIT</t>
  </si>
  <si>
    <t>CU-380</t>
  </si>
  <si>
    <t>ENCORE UNIVERSAL CONVERSION FRAM</t>
  </si>
  <si>
    <t xml:space="preserve">FIBERLITE </t>
  </si>
  <si>
    <t>FL42BLACK</t>
  </si>
  <si>
    <t>42" FIBERLITE COVER ONLY - OLD STYLE</t>
  </si>
  <si>
    <t>VEEDER ROOT</t>
  </si>
  <si>
    <t>VDR-0514100-304</t>
  </si>
  <si>
    <t>SEAL PACK</t>
  </si>
  <si>
    <t>VDR-33102001</t>
  </si>
  <si>
    <t xml:space="preserve">1/2" NPT CORD GRIP - SENSOR </t>
  </si>
  <si>
    <t>SELL PRICE</t>
  </si>
  <si>
    <t>LOAD</t>
  </si>
  <si>
    <t>YARD</t>
  </si>
  <si>
    <t>HOTEL LODGING / PER DIEM</t>
  </si>
  <si>
    <t>TECHS INITIALS</t>
  </si>
  <si>
    <t>PER DIEM TOTAL</t>
  </si>
  <si>
    <t>CONSTRUCTION TEAM ONSITE LABOR</t>
  </si>
  <si>
    <t>PER HOUR</t>
  </si>
  <si>
    <t>ONSITE</t>
  </si>
  <si>
    <t>TECHS</t>
  </si>
  <si>
    <t>`</t>
  </si>
  <si>
    <t>Date</t>
  </si>
  <si>
    <t xml:space="preserve">EQUIPMENT </t>
  </si>
  <si>
    <t>BREAKER ATTACHMENT - EXCAVATION</t>
  </si>
  <si>
    <t>SCISSOR/ROUGH TERRAIN LIFT</t>
  </si>
  <si>
    <t>LIFT FOR CANOPY CONDUIT WORK</t>
  </si>
  <si>
    <t>16" CONCRETE SAW W/BLADE</t>
  </si>
  <si>
    <t>INTRINSIC SAFE VAC TRAILER</t>
  </si>
  <si>
    <t>WATER TRAILER FOR HYDRO/PUMPOVER</t>
  </si>
  <si>
    <t>INTRINSIC SAFE HEATER BLWR</t>
  </si>
  <si>
    <t>CONFINED SPACE BLOWER/HEATER</t>
  </si>
  <si>
    <t>SITE FENCING</t>
  </si>
  <si>
    <t>SITE FENCING - BARRICADES</t>
  </si>
  <si>
    <t>VAPOR OPW ID TAG</t>
  </si>
  <si>
    <t>TOTAL TAXABLE MATERIALS</t>
  </si>
  <si>
    <t>FE PETRO</t>
  </si>
  <si>
    <t>SAR-GEL</t>
  </si>
  <si>
    <t>VR SENSE MOUNTING KIT</t>
  </si>
  <si>
    <t>VDR-VR-SENSEMOUNTKIT</t>
  </si>
  <si>
    <t>USB DRIVE PX60 PASSPORT</t>
  </si>
  <si>
    <t>VDR-S704-80034FD</t>
  </si>
  <si>
    <t>LIQUID CRYSTAL DISPLAY</t>
  </si>
  <si>
    <t>VDR-R329326-001</t>
  </si>
  <si>
    <t>Null Modem</t>
  </si>
  <si>
    <t>VDR-Null Modem</t>
  </si>
  <si>
    <t>MAG+PROBE FLOAT KIT</t>
  </si>
  <si>
    <t>VDR-886100-000</t>
  </si>
  <si>
    <t>CONTROL BOX WITH BOARD</t>
  </si>
  <si>
    <t>VDR-880-047-1</t>
  </si>
  <si>
    <t>MAG SUMP SENSOR</t>
  </si>
  <si>
    <t>VDR-857080-111</t>
  </si>
  <si>
    <t>2IN MAG PROBE INSTALL KIT</t>
  </si>
  <si>
    <t>VDR-849600-100</t>
  </si>
  <si>
    <t>MAG DIESEL FLOAT KIT</t>
  </si>
  <si>
    <t>VDR-849600-001</t>
  </si>
  <si>
    <t>Mag Probe Install Kit</t>
  </si>
  <si>
    <t>VDR-849600-000</t>
  </si>
  <si>
    <t>DIESEL KIT DIESEL</t>
  </si>
  <si>
    <t>VDR-849500-001</t>
  </si>
  <si>
    <t>CAB BOX</t>
  </si>
  <si>
    <t>VDR-848741-100</t>
  </si>
  <si>
    <t>CDIM BOX W/CABLE</t>
  </si>
  <si>
    <t>VDR-848722-100</t>
  </si>
  <si>
    <t>PLLD TRANSDUCER</t>
  </si>
  <si>
    <t>VDR-848480-001</t>
  </si>
  <si>
    <t>TLS 350 CONSOLE WITH PRINTER</t>
  </si>
  <si>
    <t>VDR-848290-022</t>
  </si>
  <si>
    <t>PUMP SENSE MODULE</t>
  </si>
  <si>
    <t>VDR-847490-204</t>
  </si>
  <si>
    <t>PLLD 6-INPUT</t>
  </si>
  <si>
    <t>VDR-847490-110</t>
  </si>
  <si>
    <t>8-Input Liquid Sensor Module</t>
  </si>
  <si>
    <t>VDR-847490-102</t>
  </si>
  <si>
    <t>10' MAG PROBE</t>
  </si>
  <si>
    <t>VDR-847390-110</t>
  </si>
  <si>
    <t>2" MAG+ GAS FLOAT KIT</t>
  </si>
  <si>
    <t>VDR-846400-100</t>
  </si>
  <si>
    <t>FLOAT KIT</t>
  </si>
  <si>
    <t>VDR-846400-004</t>
  </si>
  <si>
    <t>MAG+ DIESEL FLOAT KIT</t>
  </si>
  <si>
    <t>VDR-846400-001</t>
  </si>
  <si>
    <t>MAG + PROBE FLOAT KIT</t>
  </si>
  <si>
    <t>VDR-846400-000</t>
  </si>
  <si>
    <t>CUSTOM 70" LENGTH PROBE</t>
  </si>
  <si>
    <t>VDR-846391-499</t>
  </si>
  <si>
    <t>10' PROBE</t>
  </si>
  <si>
    <t>VDR-846391-409</t>
  </si>
  <si>
    <t>10' MAG PLUS PROBE</t>
  </si>
  <si>
    <t>VDR-846391-109</t>
  </si>
  <si>
    <t>VDR-846390-110</t>
  </si>
  <si>
    <t>10' MAG PLUS</t>
  </si>
  <si>
    <t>VDR-846390-109</t>
  </si>
  <si>
    <t>8' MAG PROBE</t>
  </si>
  <si>
    <t>VDR-846390-107</t>
  </si>
  <si>
    <t>Interstitial Sensor 30'</t>
  </si>
  <si>
    <t>VDR-794390-460</t>
  </si>
  <si>
    <t>INTERSTITIAL  SENSOR</t>
  </si>
  <si>
    <t>VDR-794390-420</t>
  </si>
  <si>
    <t>Interstitial Sensor</t>
  </si>
  <si>
    <t>VDR-794390-409</t>
  </si>
  <si>
    <t>VDR-794390-407</t>
  </si>
  <si>
    <t>Disc. Sump Sensor</t>
  </si>
  <si>
    <t>VDR-794380-352</t>
  </si>
  <si>
    <t>VDR-794380-350</t>
  </si>
  <si>
    <t>INTERSTITIAL SENSOR</t>
  </si>
  <si>
    <t>VDR-794380-344</t>
  </si>
  <si>
    <t>VDR-794-380-343</t>
  </si>
  <si>
    <t>DISC. HYD. SUMP SENSOR</t>
  </si>
  <si>
    <t>VDR-794380-322</t>
  </si>
  <si>
    <t>BRINE SENSOR</t>
  </si>
  <si>
    <t>VDR-794380-303</t>
  </si>
  <si>
    <t>DUAL-FLOAT HYDROSTATIC SENSOR</t>
  </si>
  <si>
    <t>VDR-794380-302</t>
  </si>
  <si>
    <t>Piping Sump Sensor</t>
  </si>
  <si>
    <t>VDR-794380-208</t>
  </si>
  <si>
    <t>ACKNOWLEDGEMENT SWITCH</t>
  </si>
  <si>
    <t>VDR-790095-001</t>
  </si>
  <si>
    <t>OVERFILL ALARM</t>
  </si>
  <si>
    <t>VDR-790091-001</t>
  </si>
  <si>
    <t>OPV ASSEMBLY FRANKLIN</t>
  </si>
  <si>
    <t>VDR-708590930</t>
  </si>
  <si>
    <t>OVERFILL ALARM TIMER</t>
  </si>
  <si>
    <t>VDR-603-M5R</t>
  </si>
  <si>
    <t>LITHIUM BATTERY 3.5V</t>
  </si>
  <si>
    <t>VDR-576010-695</t>
  </si>
  <si>
    <t>V.R. MONITOR PAPER</t>
  </si>
  <si>
    <t>VDR-514100-110</t>
  </si>
  <si>
    <t>BRINE SENSOR CAP</t>
  </si>
  <si>
    <t>VDR-418TM-40</t>
  </si>
  <si>
    <t>TLS-450PLUS SOFTWARE</t>
  </si>
  <si>
    <t>VDR-333545-001</t>
  </si>
  <si>
    <t>NUMEM BRD SOFTWARE</t>
  </si>
  <si>
    <t>VDR-332966-203</t>
  </si>
  <si>
    <t>MEM SOFTWARE</t>
  </si>
  <si>
    <t>VDR-332966-201</t>
  </si>
  <si>
    <t>ECPU2 BOARD W/ NO CORE</t>
  </si>
  <si>
    <t>VDR-331960-001NC</t>
  </si>
  <si>
    <t>ECPU2 BOARD</t>
  </si>
  <si>
    <t>VDR-331960-001</t>
  </si>
  <si>
    <t>IS BARRIER BRD</t>
  </si>
  <si>
    <t>VDR-331898-001</t>
  </si>
  <si>
    <t>CPU2 SOFTWARE</t>
  </si>
  <si>
    <t>VDR-331500-353</t>
  </si>
  <si>
    <t>TLS-350 SOFTWARE CORE</t>
  </si>
  <si>
    <t>VDR-331500-322RC</t>
  </si>
  <si>
    <t>CPU SOFTWARE</t>
  </si>
  <si>
    <t>VDR-331500-322</t>
  </si>
  <si>
    <t>ECPU2 KIT</t>
  </si>
  <si>
    <t>VDR-331500-308</t>
  </si>
  <si>
    <t>TLS-350R SOFTWARE</t>
  </si>
  <si>
    <t>VDR-331500-303</t>
  </si>
  <si>
    <t>352 PROBE LEAD ASSY</t>
  </si>
  <si>
    <t>VDR-331102-002</t>
  </si>
  <si>
    <t>CAB BOX ASSEMBLY</t>
  </si>
  <si>
    <t>VDR-331063-010</t>
  </si>
  <si>
    <t>PLLD SWIFT CK VALVE</t>
  </si>
  <si>
    <t>VDR-331014-001</t>
  </si>
  <si>
    <t>6 INPUT PLLD INTERFACE</t>
  </si>
  <si>
    <t>VDR-330843-001</t>
  </si>
  <si>
    <t>BIR LOOP DISP MOD</t>
  </si>
  <si>
    <t>VDR-330831-001</t>
  </si>
  <si>
    <t>V.R. CPU BOARD</t>
  </si>
  <si>
    <t>VDR-330743-004</t>
  </si>
  <si>
    <t>POWER SUPPLY BRD</t>
  </si>
  <si>
    <t>VDR-330734-001</t>
  </si>
  <si>
    <t>MAINTENANCE TRACKER BOARD</t>
  </si>
  <si>
    <t>VDR-330586-017</t>
  </si>
  <si>
    <t>GILBARCO DIM MODULE</t>
  </si>
  <si>
    <t>VDR-330404-020</t>
  </si>
  <si>
    <t>USED PLLD MODULE</t>
  </si>
  <si>
    <t>VDR-330374-001R</t>
  </si>
  <si>
    <t>PLLD OUTPUT BRD</t>
  </si>
  <si>
    <t>VDR-330374-001C</t>
  </si>
  <si>
    <t>VDR-330374-001</t>
  </si>
  <si>
    <t>EDIM Board</t>
  </si>
  <si>
    <t>VDR-330280-801</t>
  </si>
  <si>
    <t>DIM MODULE</t>
  </si>
  <si>
    <t>VDR-330280-401</t>
  </si>
  <si>
    <t>DIM MODULE FOR WAWA</t>
  </si>
  <si>
    <t>VDR-330280-001</t>
  </si>
  <si>
    <t>10 FT CABLE LEAD ASSY</t>
  </si>
  <si>
    <t>VDR-330272-002</t>
  </si>
  <si>
    <t>REPLACEMENT CABLE 15FT</t>
  </si>
  <si>
    <t>VDR-330272-0015</t>
  </si>
  <si>
    <t>CABLE 5', MAG PROBE</t>
  </si>
  <si>
    <t>VDR-330272-001</t>
  </si>
  <si>
    <t>Software Module CSLD</t>
  </si>
  <si>
    <t>VDR-330160-102</t>
  </si>
  <si>
    <t>FAX INTERFACE MODULE</t>
  </si>
  <si>
    <t>VDR-330149-002</t>
  </si>
  <si>
    <t>MAINTENANCE TRACKER</t>
  </si>
  <si>
    <t>VDR-330020-546</t>
  </si>
  <si>
    <t>BATTERY PACK</t>
  </si>
  <si>
    <t>VDR-330020-527</t>
  </si>
  <si>
    <t>VDR-330020-435</t>
  </si>
  <si>
    <t>TCP/IP MODULE KIT</t>
  </si>
  <si>
    <t>VDR-330020-425</t>
  </si>
  <si>
    <t>INSTALL KIT FOR TLS350</t>
  </si>
  <si>
    <t>VDR-330020-409</t>
  </si>
  <si>
    <t>4INProbe Cap Assy""</t>
  </si>
  <si>
    <t>VDR-330020-282</t>
  </si>
  <si>
    <t>Printer Door Group</t>
  </si>
  <si>
    <t>VDR-329370-004</t>
  </si>
  <si>
    <t>SERIAL SATELITE MODULE</t>
  </si>
  <si>
    <t>VDR-329362-004</t>
  </si>
  <si>
    <t>SENSOR MODULE</t>
  </si>
  <si>
    <t>VDR-329358-001</t>
  </si>
  <si>
    <t>Probe Thurmister</t>
  </si>
  <si>
    <t>VDR-329356-002</t>
  </si>
  <si>
    <t>PAM DOOR SCREW</t>
  </si>
  <si>
    <t>VDR-329342-001N</t>
  </si>
  <si>
    <t>TLS-350 MOTHER BRD</t>
  </si>
  <si>
    <t>VDR-329257-001A</t>
  </si>
  <si>
    <t>Printer Paper Shaft</t>
  </si>
  <si>
    <t>VDR-329211-001</t>
  </si>
  <si>
    <t>WAWA SPEC METAL CAP</t>
  </si>
  <si>
    <t>VDR-312020-952N</t>
  </si>
  <si>
    <t>VDR-312020-952</t>
  </si>
  <si>
    <t>RISER CAP INTERSTITIAL</t>
  </si>
  <si>
    <t>VDR-312020-928</t>
  </si>
  <si>
    <t>BUCKET SENSOR</t>
  </si>
  <si>
    <t>VDR-210488</t>
  </si>
  <si>
    <t>VR Splice Kit</t>
  </si>
  <si>
    <t>VDR-0848100-501</t>
  </si>
  <si>
    <t>Seal Pack</t>
  </si>
  <si>
    <t>VDR-0514100-30</t>
  </si>
  <si>
    <t>VDR-0331898-001</t>
  </si>
  <si>
    <t>CPU Board</t>
  </si>
  <si>
    <t>VDR-0330743-001</t>
  </si>
  <si>
    <t>PLLD MODULE</t>
  </si>
  <si>
    <t>VDR-0330734-001</t>
  </si>
  <si>
    <t>VDR-0330374-001</t>
  </si>
  <si>
    <t>VEEDER ROOT SCREW</t>
  </si>
  <si>
    <t>VDR-0329342-001</t>
  </si>
  <si>
    <t>Vapor VAC Whip Hose</t>
  </si>
  <si>
    <t>VAP-VV Whip</t>
  </si>
  <si>
    <t>SPLASHGUARD BLK</t>
  </si>
  <si>
    <t>VAP-OPW-8BL-0400N</t>
  </si>
  <si>
    <t>WARRANTY FREIGHT</t>
  </si>
  <si>
    <t>VAP-OPW66CAS-0300/WA</t>
  </si>
  <si>
    <t>OPW VAPOR BREAKAWAY</t>
  </si>
  <si>
    <t>VAP-OPW66CAS-0300</t>
  </si>
  <si>
    <t>2IN Pressure Vent Cap</t>
  </si>
  <si>
    <t>VAP-OPW-523LP-2203</t>
  </si>
  <si>
    <t>7/8INX 8 Ft Vapor Assist Hose</t>
  </si>
  <si>
    <t>VAP-7/8INX 8'</t>
  </si>
  <si>
    <t>GREEN SPLASH GUARD DIESEL</t>
  </si>
  <si>
    <t>NOZ-OPW8G0100</t>
  </si>
  <si>
    <t>DESIEL 1" NOZZLE</t>
  </si>
  <si>
    <t>NOZ-OPW7HB-0100</t>
  </si>
  <si>
    <t>GREEN DIESEL SCUFF KIT</t>
  </si>
  <si>
    <t>NOZ-OPW6BG-0100</t>
  </si>
  <si>
    <t>OPW NON VAP BKWY</t>
  </si>
  <si>
    <t>NOZ-OPW66REC-1000</t>
  </si>
  <si>
    <t>OPW NVW BKWY</t>
  </si>
  <si>
    <t>NOZ-OPW66RB-2000</t>
  </si>
  <si>
    <t>NON VP SPOUT KIT</t>
  </si>
  <si>
    <t>NOZ-OPW5BBPI-2137</t>
  </si>
  <si>
    <t>DIESEL SPOUT KIT</t>
  </si>
  <si>
    <t>NOZ-OPW5BBI-2135</t>
  </si>
  <si>
    <t>OPW NV SWIVEL</t>
  </si>
  <si>
    <t>NOZ-OPW241TPS-1000</t>
  </si>
  <si>
    <t>OPW NON VAP SWIVEL</t>
  </si>
  <si>
    <t>NOZ-OPW241TPS-0241</t>
  </si>
  <si>
    <t>NOZ-OPW12VW-0400/WAR</t>
  </si>
  <si>
    <t>OPW VAP NOZZLE</t>
  </si>
  <si>
    <t>NOZ-OPW12VW-0400</t>
  </si>
  <si>
    <t>OPW 11BP WAR FREIGHT</t>
  </si>
  <si>
    <t>NOZ-OPW11BPWAR-0400</t>
  </si>
  <si>
    <t>OPW NON VAP NOZZLE</t>
  </si>
  <si>
    <t>NOZ-OPW11BP-0400</t>
  </si>
  <si>
    <t>WARRNTY FREIGHT</t>
  </si>
  <si>
    <t>NOZ-OPW11BP/WARR</t>
  </si>
  <si>
    <t>BLACK LEADED NOZZLE</t>
  </si>
  <si>
    <t>NOZ-OPW11B-0400</t>
  </si>
  <si>
    <t>LEADED SPOUT</t>
  </si>
  <si>
    <t>NOZ-HUS1472</t>
  </si>
  <si>
    <t>V34 VAPOR GUARD</t>
  </si>
  <si>
    <t>NOZ-HP-4000</t>
  </si>
  <si>
    <t>NOZ-HN-N10SUF-W</t>
  </si>
  <si>
    <t>HUSKY NON-VAPOR NOZZLE</t>
  </si>
  <si>
    <t>NOZ-HN-N10SUF</t>
  </si>
  <si>
    <t>11BP SCUFF KIT</t>
  </si>
  <si>
    <t>NOZ-D01532M</t>
  </si>
  <si>
    <t>7HB OPW 1INNOZZLE""</t>
  </si>
  <si>
    <t>NOZ-7HB</t>
  </si>
  <si>
    <t>SPOUT GUARD CLAMP KIT</t>
  </si>
  <si>
    <t>NOZ-6291</t>
  </si>
  <si>
    <t>NOZ-6250431-W</t>
  </si>
  <si>
    <t>HUSKY VAPOR NOZZLE</t>
  </si>
  <si>
    <t>NOZ-6250431</t>
  </si>
  <si>
    <t>REPLACEMENT VEG</t>
  </si>
  <si>
    <t>NOZ-3VW-0450</t>
  </si>
  <si>
    <t>Black Reguard Kit</t>
  </si>
  <si>
    <t>NOZ-1809-04</t>
  </si>
  <si>
    <t>Green Reguard Kit</t>
  </si>
  <si>
    <t>NOZ-1809-03</t>
  </si>
  <si>
    <t>NOZ-159597-W</t>
  </si>
  <si>
    <t>HUSKY GREEN 1" DIESEL NOZZLE</t>
  </si>
  <si>
    <t>NOZ-159597</t>
  </si>
  <si>
    <t>NOZ-1471</t>
  </si>
  <si>
    <t>BLUE HAND WARMERS</t>
  </si>
  <si>
    <t>NOZ-001809</t>
  </si>
  <si>
    <t>EMERGENCY SHUTOFF SIGN</t>
  </si>
  <si>
    <t>MAY-M-53</t>
  </si>
  <si>
    <t>DECAL EMERGENCY SHUT-OFF</t>
  </si>
  <si>
    <t>MAY-D-171</t>
  </si>
  <si>
    <t>EM Shut Off Inside</t>
  </si>
  <si>
    <t>MAY-#D-154</t>
  </si>
  <si>
    <t>ATLAS GLOVE (L)</t>
  </si>
  <si>
    <t>MAS-16078M</t>
  </si>
  <si>
    <t>Hazardous Waste Label (Yellow)</t>
  </si>
  <si>
    <t>LM-WM6</t>
  </si>
  <si>
    <t>NON REG MATERIAL DECAL</t>
  </si>
  <si>
    <t>LM-NS12</t>
  </si>
  <si>
    <t>FLAMMABLE LABEL (RED)</t>
  </si>
  <si>
    <t>LM-HML6C</t>
  </si>
  <si>
    <t>CALL BOX WITH BUTTON</t>
  </si>
  <si>
    <t>INT-RDM3342</t>
  </si>
  <si>
    <t>POWER SUPPLY</t>
  </si>
  <si>
    <t>INT-POWER SUPPLY 16V</t>
  </si>
  <si>
    <t>18 WIRE POWER CORD</t>
  </si>
  <si>
    <t>INT-POWER CORD</t>
  </si>
  <si>
    <t>3M INTERCOM</t>
  </si>
  <si>
    <t>INT-D2475AA</t>
  </si>
  <si>
    <t>D-20 Intracom</t>
  </si>
  <si>
    <t>INT-78-9236-2877-6R</t>
  </si>
  <si>
    <t>INT-78-9236-2877-6</t>
  </si>
  <si>
    <t>14V POWER SUPPLY</t>
  </si>
  <si>
    <t>INT-78-8028-9283-2</t>
  </si>
  <si>
    <t>12V Power Supply</t>
  </si>
  <si>
    <t>INT-78802892830 12V</t>
  </si>
  <si>
    <t>WAWA LID WITH ORING</t>
  </si>
  <si>
    <t>IMG-PT-85011-1</t>
  </si>
  <si>
    <t>CONTAINS ETHANOL DECAL</t>
  </si>
  <si>
    <t>IMG-PID-1154CEC</t>
  </si>
  <si>
    <t>IMG-PID-1154CEB</t>
  </si>
  <si>
    <t>IMG-PID-1154CE</t>
  </si>
  <si>
    <t>ALUMINUM SIGN</t>
  </si>
  <si>
    <t>IMG-M-53</t>
  </si>
  <si>
    <t>RESIGN KIT</t>
  </si>
  <si>
    <t>IMG-KIT-LK</t>
  </si>
  <si>
    <t>EMERGENCY SHUT OFF</t>
  </si>
  <si>
    <t>IMG-IA-ESOCA/T/RD</t>
  </si>
  <si>
    <t>RUL FIBRELITE ID TAG</t>
  </si>
  <si>
    <t>IMG-FL-FRP-ID-RN</t>
  </si>
  <si>
    <t>PUL FIBRELITE ID TAG</t>
  </si>
  <si>
    <t>IMG-FL-FRP-ID-PN</t>
  </si>
  <si>
    <t>DIESEL ID TAG</t>
  </si>
  <si>
    <t>IMG-FL-FRP-ID-D</t>
  </si>
  <si>
    <t>FIBERLITE LID TOOL</t>
  </si>
  <si>
    <t>IMG-FL7A</t>
  </si>
  <si>
    <t>EBW F.L. 18" LID</t>
  </si>
  <si>
    <t>IMG-FL781-304-01</t>
  </si>
  <si>
    <t>10 LB FIRE EXT RECHARGE FEE</t>
  </si>
  <si>
    <t>IMG-FIRE RECHARGE</t>
  </si>
  <si>
    <t>WAWA DEBRI COLLECTOR</t>
  </si>
  <si>
    <t>IMG-EOH-FDC-1</t>
  </si>
  <si>
    <t>EMERGENCY SHUT OFF DECAL</t>
  </si>
  <si>
    <t>IMG-D-171</t>
  </si>
  <si>
    <t>CO2 REFILL</t>
  </si>
  <si>
    <t>IMG-CO2</t>
  </si>
  <si>
    <t>VAPOR PHIL TITE ID TAG</t>
  </si>
  <si>
    <t>IMG-787-400-08N</t>
  </si>
  <si>
    <t>PUL PHIL TITE ID TAG</t>
  </si>
  <si>
    <t>IMG-787-400-03N</t>
  </si>
  <si>
    <t>REG PHIL TITE ID TAG</t>
  </si>
  <si>
    <t>IMG-787-400-01N</t>
  </si>
  <si>
    <t>ENC EPP PRIVAVY W/4 DICALS</t>
  </si>
  <si>
    <t>IMG-713466</t>
  </si>
  <si>
    <t>PEGASUS VALANCE DECAL</t>
  </si>
  <si>
    <t>IMG-711450</t>
  </si>
  <si>
    <t>RUNNING TIGER VALANCE DECAL</t>
  </si>
  <si>
    <t>IMG-711448</t>
  </si>
  <si>
    <t>HOW WAS YOUR VISIT DECAL</t>
  </si>
  <si>
    <t>IMG-707549</t>
  </si>
  <si>
    <t>E-500/700 SOLID CRIND BLUE</t>
  </si>
  <si>
    <t>IMG-686164</t>
  </si>
  <si>
    <t>PUMP #S 1-30</t>
  </si>
  <si>
    <t>IMG-660310</t>
  </si>
  <si>
    <t>ENC EPP SOFT KEY W/ CALL</t>
  </si>
  <si>
    <t>IMG-657522</t>
  </si>
  <si>
    <t>LEFT DOOR DECAL BLUE</t>
  </si>
  <si>
    <t>IMG-654229</t>
  </si>
  <si>
    <t>ENC EPP ADA PAD AND PAY OPT</t>
  </si>
  <si>
    <t>IMG-628784</t>
  </si>
  <si>
    <t>ENC EPP SOFT KEY W/ CALL ADA</t>
  </si>
  <si>
    <t>IMG-618879</t>
  </si>
  <si>
    <t>EXXON LOGO DECAL</t>
  </si>
  <si>
    <t>IMG-615903</t>
  </si>
  <si>
    <t>FACE CUT OUT LOGO DECAL</t>
  </si>
  <si>
    <t>IMG-615901</t>
  </si>
  <si>
    <t>ENC KEYPAD MAIN DISPLAY DECAL</t>
  </si>
  <si>
    <t>IMG-615839</t>
  </si>
  <si>
    <t>ENC EPP ADDA PIN PAD W/ CALL</t>
  </si>
  <si>
    <t>IMG-615825</t>
  </si>
  <si>
    <t>ENC EPP ADA PIN PAD NO CALL</t>
  </si>
  <si>
    <t>IMG-615824</t>
  </si>
  <si>
    <t>EN PRIVACY ADA KEY RECEIPT</t>
  </si>
  <si>
    <t>IMG-615823</t>
  </si>
  <si>
    <t>QR CODE DECAL</t>
  </si>
  <si>
    <t>IMG-611317</t>
  </si>
  <si>
    <t>E-500 RIGHT SINGLE 3+1 NOZ BLU</t>
  </si>
  <si>
    <t>IMG-610445</t>
  </si>
  <si>
    <t>E-500 DUAL NOZ BOOT 3+0 BLANK</t>
  </si>
  <si>
    <t>IMG-610442</t>
  </si>
  <si>
    <t>EN-500 W PRIVACY KEYPAD BLANK</t>
  </si>
  <si>
    <t>IMG-610441</t>
  </si>
  <si>
    <t>ENC PRIVACY CC READER PNL</t>
  </si>
  <si>
    <t>IMG-610433</t>
  </si>
  <si>
    <t>ENC ADA SOFTKEY OVERLAY</t>
  </si>
  <si>
    <t>IMG-610432</t>
  </si>
  <si>
    <t>ENC KEYPAD BLANK ADA</t>
  </si>
  <si>
    <t>IMG-609989</t>
  </si>
  <si>
    <t>ENC PRIVACY KEYPAD RECEIPT</t>
  </si>
  <si>
    <t>IMG-609988</t>
  </si>
  <si>
    <t>E-500 UPPER BEXEL DECAL</t>
  </si>
  <si>
    <t>IMG-609981</t>
  </si>
  <si>
    <t>E-700 TOP SPEAKER PANEL</t>
  </si>
  <si>
    <t>IMG-609443</t>
  </si>
  <si>
    <t>MOBIL CROWN LOGO E-500</t>
  </si>
  <si>
    <t>IMG-609442</t>
  </si>
  <si>
    <t>EXXON CROWN LOGO E-500</t>
  </si>
  <si>
    <t>IMG-609441</t>
  </si>
  <si>
    <t>ENC-500 DUAL WIN REG EX SUP</t>
  </si>
  <si>
    <t>IMG-596092EM</t>
  </si>
  <si>
    <t>ENC-500 3+0 REG EXTRA SUP</t>
  </si>
  <si>
    <t>IMG-596091EM</t>
  </si>
  <si>
    <t>AMERON GLUE KIT</t>
  </si>
  <si>
    <t>IMG-502101025</t>
  </si>
  <si>
    <t>20LB FIRE EXT</t>
  </si>
  <si>
    <t>IMG-3020</t>
  </si>
  <si>
    <t>2.5LB FIRE EXT</t>
  </si>
  <si>
    <t>IMG-2.5LBN</t>
  </si>
  <si>
    <t>VAPOR ID TAG FOR 711</t>
  </si>
  <si>
    <t>IMG-1TAG-7010</t>
  </si>
  <si>
    <t>IMG-1TAG-7000N</t>
  </si>
  <si>
    <t>IMG-1TAG-7000-711</t>
  </si>
  <si>
    <t>7-11 DSL TAG FOR INSIDE BUCKET</t>
  </si>
  <si>
    <t>IMG-1TAG-4010</t>
  </si>
  <si>
    <t>7-11 DSL SPILL BUCKET TAG</t>
  </si>
  <si>
    <t>IMG-1TAG-4000</t>
  </si>
  <si>
    <t>PUL ID TAG FOR 7-11</t>
  </si>
  <si>
    <t>IMG-1TAG-3010</t>
  </si>
  <si>
    <t>PUL OPW ID TAG</t>
  </si>
  <si>
    <t>IMG-1TAG-3000N</t>
  </si>
  <si>
    <t>IMG-1TAG-3000-711</t>
  </si>
  <si>
    <t>MUL TAG W ZIP</t>
  </si>
  <si>
    <t>IMG-1TAG-2010</t>
  </si>
  <si>
    <t>MUL TAG</t>
  </si>
  <si>
    <t>IMG-1TAG-2000</t>
  </si>
  <si>
    <t>UNLEADED TAG FOR 7-11</t>
  </si>
  <si>
    <t>IMG-1TAG-1010</t>
  </si>
  <si>
    <t>REG OPW ID TAG</t>
  </si>
  <si>
    <t>IMG-1TAG-1000N</t>
  </si>
  <si>
    <t>UNLEADED ID TAG 7-11</t>
  </si>
  <si>
    <t>IMG-1TAG-1000-711</t>
  </si>
  <si>
    <t>7-11 SPEC FRAME</t>
  </si>
  <si>
    <t>IMG-12075</t>
  </si>
  <si>
    <t>7-11 SPEC PANEL</t>
  </si>
  <si>
    <t>IMG-12055</t>
  </si>
  <si>
    <t>MUL CONCRETE MARKER</t>
  </si>
  <si>
    <t>IMG-106UP-0125</t>
  </si>
  <si>
    <t>UNLEADED CONCRETE MARKER</t>
  </si>
  <si>
    <t>IMG-106U-0125</t>
  </si>
  <si>
    <t>PREMIUM CONCRETE MARKER</t>
  </si>
  <si>
    <t>IMG-106P-0150</t>
  </si>
  <si>
    <t>DEISEL CONCRETE MARKER</t>
  </si>
  <si>
    <t>IMG-106DL-0095</t>
  </si>
  <si>
    <t>7-11 SPEC CABINET</t>
  </si>
  <si>
    <t>IMG-105-20-BOX</t>
  </si>
  <si>
    <t>FIRE BOX HAMMER</t>
  </si>
  <si>
    <t>IMG-10011R</t>
  </si>
  <si>
    <t>MHD PUMP TOPPER EXXON</t>
  </si>
  <si>
    <t>IMG-09D016R</t>
  </si>
  <si>
    <t>WAWA SPEC 3/4 X 8' NVP HOS</t>
  </si>
  <si>
    <t>HOS-WA124284</t>
  </si>
  <si>
    <t>WAWA NVP HOSE</t>
  </si>
  <si>
    <t>HOS-I8'6"X3/4SC</t>
  </si>
  <si>
    <t>WAWA 10' SPEC HOSE</t>
  </si>
  <si>
    <t>HOS-I10XAH</t>
  </si>
  <si>
    <t>WAWA SPEC 3/4 X10' HOSE</t>
  </si>
  <si>
    <t>HOS-I10X3/4SSC</t>
  </si>
  <si>
    <t>NON-REC BREAKAWAY</t>
  </si>
  <si>
    <t>HOS-HUSKY 2273</t>
  </si>
  <si>
    <t>Husky Swivel</t>
  </si>
  <si>
    <t>HOS-HUSKY 0350VI</t>
  </si>
  <si>
    <t>1" X 8' HOSE</t>
  </si>
  <si>
    <t>HOS-GY1X8MXM</t>
  </si>
  <si>
    <t>HUSKY NON-RECONNECTABLE BREAKA</t>
  </si>
  <si>
    <t>HOS-6210</t>
  </si>
  <si>
    <t>HOS-3/4X10'</t>
  </si>
  <si>
    <t>8' SPEC WAWA HOSE</t>
  </si>
  <si>
    <t>HOS-18FT6XAH</t>
  </si>
  <si>
    <t>5/8IN  Green Hose</t>
  </si>
  <si>
    <t>HOS-125025G</t>
  </si>
  <si>
    <t>3/4 X12' Hose</t>
  </si>
  <si>
    <t>HOS-124425</t>
  </si>
  <si>
    <t>3/4INX8' HOSE</t>
  </si>
  <si>
    <t>HOS-124285</t>
  </si>
  <si>
    <t>3/4INX8IN WHIP HOSE</t>
  </si>
  <si>
    <t>HOS-124021</t>
  </si>
  <si>
    <t>ZIPPER BOOTS</t>
  </si>
  <si>
    <t>GRD-ZIP436ZB</t>
  </si>
  <si>
    <t>Lock Ring XERXES SUMP</t>
  </si>
  <si>
    <t>GRD-XXXE-LOCK RING</t>
  </si>
  <si>
    <t>26IN GASKET</t>
  </si>
  <si>
    <t>GRD-XERXES GASKET</t>
  </si>
  <si>
    <t>LID LOCKING HANDLE</t>
  </si>
  <si>
    <t>GRD-WTS-THANDLE</t>
  </si>
  <si>
    <t>CLAMP KIT</t>
  </si>
  <si>
    <t>GRD-WSP-CRK</t>
  </si>
  <si>
    <t>FIBERLITE MULTIPORT LID</t>
  </si>
  <si>
    <t>GRD-WSP37-16</t>
  </si>
  <si>
    <t>320 GB GILBARCO EDH HARD DRIVE</t>
  </si>
  <si>
    <t>GRD-WD3200LUCT</t>
  </si>
  <si>
    <t>3/4" NPT COVERTER</t>
  </si>
  <si>
    <t>GRD-VAR75</t>
  </si>
  <si>
    <t>Shear Valve Arm</t>
  </si>
  <si>
    <t>GRD-Valve Arm</t>
  </si>
  <si>
    <t>FILL PIPE ID SUPER</t>
  </si>
  <si>
    <t>GRD-US-FPI-46</t>
  </si>
  <si>
    <t>FILL PIPE ID MUL</t>
  </si>
  <si>
    <t>GRD-US-FPI-27</t>
  </si>
  <si>
    <t>Fill Pipe I.D. RUL</t>
  </si>
  <si>
    <t>GRD-US-FPI-125U</t>
  </si>
  <si>
    <t>FILL PIPE ID PUL</t>
  </si>
  <si>
    <t>GRD-US-FPI-125P</t>
  </si>
  <si>
    <t>KERO FILL I.D. TAG</t>
  </si>
  <si>
    <t>GRD-US-FPI-125K</t>
  </si>
  <si>
    <t>Fill Pipe I.D. DSL</t>
  </si>
  <si>
    <t>GRD-US-FPI-125D</t>
  </si>
  <si>
    <t>Universal Vapor Lid</t>
  </si>
  <si>
    <t>GRD-UNV60-12-B5</t>
  </si>
  <si>
    <t>18" MANHOLE</t>
  </si>
  <si>
    <t>GRD-UNV.88-1810</t>
  </si>
  <si>
    <t>7-11 SPEC E SHUT OFF SWITCH</t>
  </si>
  <si>
    <t>GRD-U-MS-76</t>
  </si>
  <si>
    <t>Flat Top Fill Cap</t>
  </si>
  <si>
    <t>GRD-U-731</t>
  </si>
  <si>
    <t>4" PIPE EXTENTION</t>
  </si>
  <si>
    <t>GRD-U-1002S</t>
  </si>
  <si>
    <t>4" FILL PIPE ADAPTOR</t>
  </si>
  <si>
    <t>GRD-U-1002L</t>
  </si>
  <si>
    <t>Flat Top Vapor Cap</t>
  </si>
  <si>
    <t>GRD-U-0613VC</t>
  </si>
  <si>
    <t>PRB12 FIELD MODULE</t>
  </si>
  <si>
    <t>GRD-TSSP-PRB</t>
  </si>
  <si>
    <t>4" FLOAT KTI</t>
  </si>
  <si>
    <t>GRD-TSP-IGF4</t>
  </si>
  <si>
    <t>API COLOR CODE CHARTS</t>
  </si>
  <si>
    <t>GRD-TS-9CC</t>
  </si>
  <si>
    <t>LEXEL SILICON</t>
  </si>
  <si>
    <t>GRD-TC-SILICON</t>
  </si>
  <si>
    <t>FILL CAP WITH COMBO LOCK</t>
  </si>
  <si>
    <t>GRD-TC-PL</t>
  </si>
  <si>
    <t>Sump Cover w/Gasket</t>
  </si>
  <si>
    <t>GRD-TCLS-0033</t>
  </si>
  <si>
    <t>Bostik Sealer</t>
  </si>
  <si>
    <t>GRD-TC-Bostik</t>
  </si>
  <si>
    <t>Sump Lid Bolt Down Kit</t>
  </si>
  <si>
    <t>GRD-TCBK3333</t>
  </si>
  <si>
    <t>LID/INFLATABLE SEAL 37"</t>
  </si>
  <si>
    <t>GRD-TAL37TS-I</t>
  </si>
  <si>
    <t>WHITE SUMP LID GASKET</t>
  </si>
  <si>
    <t>GRD-TAL-37TS-G</t>
  </si>
  <si>
    <t>TWIST SEAL LID</t>
  </si>
  <si>
    <t>GRD-TAL-37TS-711-V</t>
  </si>
  <si>
    <t>37"TWIST SEAL</t>
  </si>
  <si>
    <t>GRD-TAL-37TS-711</t>
  </si>
  <si>
    <t>WHITE SUMP LID</t>
  </si>
  <si>
    <t>GRD-TAL-37TS</t>
  </si>
  <si>
    <t>STAINLESS STEEL</t>
  </si>
  <si>
    <t>GRD-SWV-101-SS</t>
  </si>
  <si>
    <t>PHIL TITE FILL ADAPTOR</t>
  </si>
  <si>
    <t>GRD-SWS-101-SS</t>
  </si>
  <si>
    <t>FILL AND VAPOR SWIVEL ADPT SS</t>
  </si>
  <si>
    <t>GRD-SWFV-PKGSS</t>
  </si>
  <si>
    <t>FRANKLIN FUELING ADAPTOR</t>
  </si>
  <si>
    <t>GRD-SWF-100-SS</t>
  </si>
  <si>
    <t>Shear VLV Top Male</t>
  </si>
  <si>
    <t>GRD-SVT-2015M</t>
  </si>
  <si>
    <t>Female Top Environ</t>
  </si>
  <si>
    <t>GRD-SVT-2015F</t>
  </si>
  <si>
    <t>1 1/2IN Shear Valve</t>
  </si>
  <si>
    <t>GRD-SVD-2015M</t>
  </si>
  <si>
    <t>Shear Valve Female</t>
  </si>
  <si>
    <t>GRD-SVD-2015F</t>
  </si>
  <si>
    <t>COVERALLS FOR FIBERGLASS</t>
  </si>
  <si>
    <t>GRD-SUIT</t>
  </si>
  <si>
    <t>SUB TURBINE ISO BOX</t>
  </si>
  <si>
    <t>GRD-STP-DHI</t>
  </si>
  <si>
    <t>GRD-SR-160</t>
  </si>
  <si>
    <t>1.5" REPAIR BOOT</t>
  </si>
  <si>
    <t>GRD-SPTB-150</t>
  </si>
  <si>
    <t>OPW PIPE ADAPTOR</t>
  </si>
  <si>
    <t>GRD-SMA-2020</t>
  </si>
  <si>
    <t>GRD-SMA-2015</t>
  </si>
  <si>
    <t>GASKET AND SEALANT</t>
  </si>
  <si>
    <t>GRD-SLPK</t>
  </si>
  <si>
    <t>BOSTICKS</t>
  </si>
  <si>
    <t>GRD-SIKAFLEX1A</t>
  </si>
  <si>
    <t>2" COUPLING GASKET</t>
  </si>
  <si>
    <t>GRD-SGP-0200</t>
  </si>
  <si>
    <t>PIPE FITTING ORINGS OPW</t>
  </si>
  <si>
    <t>GRD-SGP-0150</t>
  </si>
  <si>
    <t>36" GREEN GASKET</t>
  </si>
  <si>
    <t>GRD-SCS-0036-HW</t>
  </si>
  <si>
    <t>FAIRFIELD STANDARD BUCKET</t>
  </si>
  <si>
    <t>GRD-SCM-5WTLP</t>
  </si>
  <si>
    <t>STABALIZER BAR</t>
  </si>
  <si>
    <t>GRD-SBK-1500V</t>
  </si>
  <si>
    <t>Fusible Link Environ</t>
  </si>
  <si>
    <t>GRD-SA-SV-5040</t>
  </si>
  <si>
    <t>GRD-SA-SV-5030</t>
  </si>
  <si>
    <t>PASSPORT SOFTWARE USB PX60</t>
  </si>
  <si>
    <t>GRD-S704-60024FD</t>
  </si>
  <si>
    <t>PASSPORT V11.04 THUMB DR</t>
  </si>
  <si>
    <t>GRD-S704-60023FD</t>
  </si>
  <si>
    <t>STAINLESS STEEL RING</t>
  </si>
  <si>
    <t>GRD-S/S-LID/RING-37</t>
  </si>
  <si>
    <t>MULTI PORT STUD RING</t>
  </si>
  <si>
    <t>GRD-RTR-BLACK</t>
  </si>
  <si>
    <t>WHITE OPW LID</t>
  </si>
  <si>
    <t>GRD-RTC-WHITE</t>
  </si>
  <si>
    <t>RED OPW SUMP LID COVER</t>
  </si>
  <si>
    <t>GRD-RTC-RED</t>
  </si>
  <si>
    <t>ORANGE OPW SUMP COVER</t>
  </si>
  <si>
    <t>GRD-RTC-ORANGE</t>
  </si>
  <si>
    <t>BLACK OPW LID</t>
  </si>
  <si>
    <t>GRD-RTC-BLACK</t>
  </si>
  <si>
    <t>FIBERGLASS RESIGN KIT</t>
  </si>
  <si>
    <t>GRD-RK-5000</t>
  </si>
  <si>
    <t>Connector Yoke Assy</t>
  </si>
  <si>
    <t>GRD-RJ313-002-5</t>
  </si>
  <si>
    <t>RJ Syphon Check Valve</t>
  </si>
  <si>
    <t>GRD-RJ188-241-5</t>
  </si>
  <si>
    <t>RJ Funct EL O-Ring Kit</t>
  </si>
  <si>
    <t>GRD-RJ172-003-5</t>
  </si>
  <si>
    <t>PACKER ORING</t>
  </si>
  <si>
    <t>GRD-RJ144-193-1</t>
  </si>
  <si>
    <t>CHECK VALVE REPAIR KIT</t>
  </si>
  <si>
    <t>GRD-RJ144-186-5</t>
  </si>
  <si>
    <t>CHECK VALVE</t>
  </si>
  <si>
    <t>GRD-RJ144-184-5</t>
  </si>
  <si>
    <t>R J Check Valve</t>
  </si>
  <si>
    <t>GRD-RJ144-183-5</t>
  </si>
  <si>
    <t>17' WIRE HARNESS</t>
  </si>
  <si>
    <t>GRD-RJ-144-091-5</t>
  </si>
  <si>
    <t>R.J. Plug Lead Assy</t>
  </si>
  <si>
    <t>GRD-RJ144-090</t>
  </si>
  <si>
    <t>CHECK VALVE HOLDER</t>
  </si>
  <si>
    <t>GRD-RJ138-049-5</t>
  </si>
  <si>
    <t>1.5HP CAPACITOR HOUSING</t>
  </si>
  <si>
    <t>GRD-RJ113-319-5</t>
  </si>
  <si>
    <t>CONNECTOR SNAP RING</t>
  </si>
  <si>
    <t>GRD-RJ113-105</t>
  </si>
  <si>
    <t>3/4HP CAPACITOR HOUSING</t>
  </si>
  <si>
    <t>GRD-RJ113-085-5</t>
  </si>
  <si>
    <t>RJ CAPACITOR COVER</t>
  </si>
  <si>
    <t>GRD-RJ113-084</t>
  </si>
  <si>
    <t>CAPACITOR 25 MFD</t>
  </si>
  <si>
    <t>GRD-RJ111-661-5</t>
  </si>
  <si>
    <t>Capicator 17.5</t>
  </si>
  <si>
    <t>GRD-RJ111-092-5</t>
  </si>
  <si>
    <t>CAP &amp; STEM ASSY</t>
  </si>
  <si>
    <t>GRD-RJ111-065-4</t>
  </si>
  <si>
    <t>CONDUIT J-BOX</t>
  </si>
  <si>
    <t>GRD-RJ108-496-5</t>
  </si>
  <si>
    <t>PET CHECK VALVE</t>
  </si>
  <si>
    <t>GRD-RJ076-085-3</t>
  </si>
  <si>
    <t>RJ Conduit O-Ring</t>
  </si>
  <si>
    <t>GRD-RJ072-196-1</t>
  </si>
  <si>
    <t>RJ Capacitor O-Ring</t>
  </si>
  <si>
    <t>GRD-RJ072-190-1</t>
  </si>
  <si>
    <t>RJ Pumphead O-Ring</t>
  </si>
  <si>
    <t>GRD-RJ072-189-1</t>
  </si>
  <si>
    <t>RJ CHECK VALVE O-RING</t>
  </si>
  <si>
    <t>GRD-RJ072-107-1</t>
  </si>
  <si>
    <t>PAN SCREWS</t>
  </si>
  <si>
    <t>GRD-RJ026-627-1</t>
  </si>
  <si>
    <t>CISCO ROUTER</t>
  </si>
  <si>
    <t>GRD-Q13708-08B</t>
  </si>
  <si>
    <t>U Shaped seal for ductile cast</t>
  </si>
  <si>
    <t>GRD-PT-SC-1513V</t>
  </si>
  <si>
    <t>BOLT DOWN FOR OBS LID</t>
  </si>
  <si>
    <t>GRD-PROTO-LOCK</t>
  </si>
  <si>
    <t>2HP Vari Speed Motor</t>
  </si>
  <si>
    <t>GRD-PMA-VS-2</t>
  </si>
  <si>
    <t>3/4 HP SUMP MOTOR</t>
  </si>
  <si>
    <t>GRD-PMA-75</t>
  </si>
  <si>
    <t>1-1/2 HP Sump Motor</t>
  </si>
  <si>
    <t>GRD-PMA-150</t>
  </si>
  <si>
    <t>4" TOTAL CONTAINMENT PLUG</t>
  </si>
  <si>
    <t>GRD-PEI-4.0XPLUG</t>
  </si>
  <si>
    <t>CAN OF PAINT</t>
  </si>
  <si>
    <t>GRD-PAINT</t>
  </si>
  <si>
    <t>5 GAL BUCKET W PLUG</t>
  </si>
  <si>
    <t>GRD-P761C-EVRPL</t>
  </si>
  <si>
    <t>5 GAL BUCKET W DRAIN</t>
  </si>
  <si>
    <t>GRD-P761C-EVRDV</t>
  </si>
  <si>
    <t>5GAL REPLACEMENT BUCKET</t>
  </si>
  <si>
    <t>GRD-P711-EVRDV</t>
  </si>
  <si>
    <t>ORING KIT FOR MULTI PORT</t>
  </si>
  <si>
    <t>GRD-P511G-KIT</t>
  </si>
  <si>
    <t>5 GALLON OLD STYLE</t>
  </si>
  <si>
    <t>GRD-P511-DEVRBUCKET</t>
  </si>
  <si>
    <t>OBSERVATION LID</t>
  </si>
  <si>
    <t>GRD-P40-ROTO-LID</t>
  </si>
  <si>
    <t>42" MANHOLE GASKET</t>
  </si>
  <si>
    <t>GRD-P110-42G</t>
  </si>
  <si>
    <t>6" NITRILE OBSERVATION PORT</t>
  </si>
  <si>
    <t>GRD-OPW-WSP-WTC-OPC</t>
  </si>
  <si>
    <t>OPW SHEAR VALVE PLATE KIT</t>
  </si>
  <si>
    <t>GRD-OPW-MPK-10</t>
  </si>
  <si>
    <t>OPW DROP TUBE ORING</t>
  </si>
  <si>
    <t>GRD-OPWHO8145M</t>
  </si>
  <si>
    <t>OPW Fusible Link</t>
  </si>
  <si>
    <t>GRD-OPWHO5361</t>
  </si>
  <si>
    <t>OPW 71SO KIT</t>
  </si>
  <si>
    <t>GRD-OPWH14842</t>
  </si>
  <si>
    <t>BOLT DOWN KNOBS</t>
  </si>
  <si>
    <t>GRD-OPWH13257M</t>
  </si>
  <si>
    <t>TC LID GASKET</t>
  </si>
  <si>
    <t>GRD-OPWH13214M</t>
  </si>
  <si>
    <t>104A 12" OPW LID</t>
  </si>
  <si>
    <t>GRD-OPW-E00510M</t>
  </si>
  <si>
    <t>4" X 1.5" DONUT</t>
  </si>
  <si>
    <t>GRD-OPW-DONUT</t>
  </si>
  <si>
    <t>OPW T'S</t>
  </si>
  <si>
    <t>GRD-OPW-CTF1515</t>
  </si>
  <si>
    <t>SWEDGE KIT</t>
  </si>
  <si>
    <t>GRD-OPW-CSK-0150S</t>
  </si>
  <si>
    <t>OPW BOTTOM OF DROP TUBE</t>
  </si>
  <si>
    <t>GRD-OPW-C05117</t>
  </si>
  <si>
    <t>GRD-OPW71SO-410CW</t>
  </si>
  <si>
    <t>4" OPW DROP TUBE</t>
  </si>
  <si>
    <t>GRD-OPW71SO-410C</t>
  </si>
  <si>
    <t>OPW DROP TUBE TOOL</t>
  </si>
  <si>
    <t>GRD-OPW71S0-TOOL</t>
  </si>
  <si>
    <t>OPW FILL CAP GASKET</t>
  </si>
  <si>
    <t>GRD-OPW634TT-G</t>
  </si>
  <si>
    <t>4IN Locking Fill Cap</t>
  </si>
  <si>
    <t>GRD-OPW634TT-7085</t>
  </si>
  <si>
    <t>3IN OPW FILL CAP</t>
  </si>
  <si>
    <t>GRD-OPW634TE-7085</t>
  </si>
  <si>
    <t>OPW LOW PROFILE FILL CAP</t>
  </si>
  <si>
    <t>GRD-OPW634LPC-0400</t>
  </si>
  <si>
    <t>BRASS OPW ADAPT</t>
  </si>
  <si>
    <t>GRD-OPW633T-8070</t>
  </si>
  <si>
    <t>SS LOCKING RISER CLAMP</t>
  </si>
  <si>
    <t>GRD-OPW633LC-1000</t>
  </si>
  <si>
    <t>WAWA SPEC 3" VENT CAP WHITE</t>
  </si>
  <si>
    <t>GRD-OPW623V-3203</t>
  </si>
  <si>
    <t>7-11 SPEC OPW VENT CAP</t>
  </si>
  <si>
    <t>GRD-OPW623V-2203</t>
  </si>
  <si>
    <t>VAPOR SWIVEL ADAPTOR</t>
  </si>
  <si>
    <t>GRD-OPW-61VSA-EVR</t>
  </si>
  <si>
    <t>17' STRAIGHT DROP TUBE</t>
  </si>
  <si>
    <t>GRD-OPW61T-7468</t>
  </si>
  <si>
    <t>OPW COAXIAL DROP TUBE</t>
  </si>
  <si>
    <t>GRD-OPW61SOP-4012</t>
  </si>
  <si>
    <t>COAXIAL DROP TUBE</t>
  </si>
  <si>
    <t>GRD-OPW61SOP-4002</t>
  </si>
  <si>
    <t>LOW PROFILE SWIVEL ADAPTOR</t>
  </si>
  <si>
    <t>GRD-OPW61SALP-EVR</t>
  </si>
  <si>
    <t>OPW VAPOR SHEAR VALVE</t>
  </si>
  <si>
    <t>GRD-OPW60VSP-1001</t>
  </si>
  <si>
    <t>OPW ADAPTOR</t>
  </si>
  <si>
    <t>GRD-OPW523A-1003</t>
  </si>
  <si>
    <t>TEST ADAPTER FOR DW SPILL BUCK</t>
  </si>
  <si>
    <t>GRD-OPW-203310</t>
  </si>
  <si>
    <t>OPW LOW PROFILE VAP CAP</t>
  </si>
  <si>
    <t>GRD-OPW1711LPC-0400</t>
  </si>
  <si>
    <t>Vapor Recovery Cap</t>
  </si>
  <si>
    <t>GRD-OPW1711-7085</t>
  </si>
  <si>
    <t>3X4" VAPOR ADAPTOR</t>
  </si>
  <si>
    <t>GRD-OPW1611AV1620N</t>
  </si>
  <si>
    <t>OPW MANHOLE TOOL</t>
  </si>
  <si>
    <t>GRD-OPW1-3100-TOOL</t>
  </si>
  <si>
    <t>OPW Alum Spill Contain Lid</t>
  </si>
  <si>
    <t>GRD-OPW1-21AC</t>
  </si>
  <si>
    <t>2IN UNION REPL. TOP</t>
  </si>
  <si>
    <t>GRD-OPW-10RUTC-5962</t>
  </si>
  <si>
    <t>2IN UNION REPL TOP</t>
  </si>
  <si>
    <t>GRD-OPW10RUTC5962</t>
  </si>
  <si>
    <t>Uniom Shear Top</t>
  </si>
  <si>
    <t>GRD-OPW10RUT5950</t>
  </si>
  <si>
    <t>2" UNION SHEAR VALVE</t>
  </si>
  <si>
    <t>GRD-OPW10RUP-2006</t>
  </si>
  <si>
    <t>Male Shear Top 1 1/2IN</t>
  </si>
  <si>
    <t>GRD-OPW10RMT5850</t>
  </si>
  <si>
    <t>Female D.P. Shear Top</t>
  </si>
  <si>
    <t>GRD-OPW10RFTP5751</t>
  </si>
  <si>
    <t>Fem Shear Top 1 1/2IN</t>
  </si>
  <si>
    <t>GRD-OPW10RFT5750</t>
  </si>
  <si>
    <t>OPW 10+ SHEAR VALVE</t>
  </si>
  <si>
    <t>GRD-OPW10P-0152</t>
  </si>
  <si>
    <t>1.5IN UNION SHEAR</t>
  </si>
  <si>
    <t>GRD-OPW10BUP5926</t>
  </si>
  <si>
    <t>FE. Shear Valve 1.5IN</t>
  </si>
  <si>
    <t>GRD-OPW10BFP</t>
  </si>
  <si>
    <t>CAST SPILL CONT LID</t>
  </si>
  <si>
    <t>GRD-OPW #1</t>
  </si>
  <si>
    <t>1 PINT JOMAR PIPE DOPE</t>
  </si>
  <si>
    <t>GRD-NJI-400-204</t>
  </si>
  <si>
    <t>.5 PINT JOMAR PIPE DOPE</t>
  </si>
  <si>
    <t>GRD-NJI-400-203</t>
  </si>
  <si>
    <t>NITROGEN BOTTLE</t>
  </si>
  <si>
    <t>GRD-NITROGEN</t>
  </si>
  <si>
    <t>SWIVEL ADAPTOR TOOL</t>
  </si>
  <si>
    <t>GRD-NEW-A0081-001C</t>
  </si>
  <si>
    <t>4IN Fill Adaptor</t>
  </si>
  <si>
    <t>GRD-MR-305L</t>
  </si>
  <si>
    <t>36" MULTI PORT LID</t>
  </si>
  <si>
    <t>GRD-MPWS-36</t>
  </si>
  <si>
    <t>OPW WATER SHROUD KIT</t>
  </si>
  <si>
    <t>GRD-MPWS-33TS</t>
  </si>
  <si>
    <t>MX925 COMMANDER EXXON PIN PAD</t>
  </si>
  <si>
    <t>GRD-M177-509-01-R</t>
  </si>
  <si>
    <t>PPU DOOR CABLE LEFT</t>
  </si>
  <si>
    <t>GRD-M04547A001</t>
  </si>
  <si>
    <t>LATCH KIT</t>
  </si>
  <si>
    <t>GRD-LRK-CLC</t>
  </si>
  <si>
    <t>LOCK OUT TAG OUT</t>
  </si>
  <si>
    <t>GRD-LOCK OUT</t>
  </si>
  <si>
    <t>LIQUI CULT</t>
  </si>
  <si>
    <t>GRD-LIQUI-CULT</t>
  </si>
  <si>
    <t>COPPER TUBE LD2000</t>
  </si>
  <si>
    <t>GRD-LD99-9005</t>
  </si>
  <si>
    <t>TUBE FITTING  (2ND)</t>
  </si>
  <si>
    <t>GRD-LD21-2133</t>
  </si>
  <si>
    <t>TUBE FITTING (1ST)</t>
  </si>
  <si>
    <t>GRD-LD21-2132</t>
  </si>
  <si>
    <t>GRD-LD2000/WAR</t>
  </si>
  <si>
    <t>Leak Detector LD2000</t>
  </si>
  <si>
    <t>GRD-LD2000</t>
  </si>
  <si>
    <t>5 Gallon Pail</t>
  </si>
  <si>
    <t>GRD-KM5000</t>
  </si>
  <si>
    <t>3IN BALL VALVE</t>
  </si>
  <si>
    <t>GRD-JI-T100-3</t>
  </si>
  <si>
    <t>4.5 PLUG</t>
  </si>
  <si>
    <t>GRD-IUI4.5XPLUG</t>
  </si>
  <si>
    <t>INSPECTION PORT</t>
  </si>
  <si>
    <t>GRD-IP4000-1</t>
  </si>
  <si>
    <t>4X8 GALV STL NIP</t>
  </si>
  <si>
    <t>GRD-IGNPX</t>
  </si>
  <si>
    <t>4X6 GALV STL NIP</t>
  </si>
  <si>
    <t>GRD-IGNPU</t>
  </si>
  <si>
    <t>4X4 GALV STL NIP</t>
  </si>
  <si>
    <t>GRD-IGNPP</t>
  </si>
  <si>
    <t>4XCLOSE GALV STL NIP</t>
  </si>
  <si>
    <t>GRD-IGNPCL</t>
  </si>
  <si>
    <t>EDGE DOUBLE WALL BUCKET</t>
  </si>
  <si>
    <t>GRD-IC-3112P</t>
  </si>
  <si>
    <t>EDGE DOUBLE WALL SPILL CONTAIN</t>
  </si>
  <si>
    <t>GRD-IC-3112D</t>
  </si>
  <si>
    <t>OPW 2100 BUCKET</t>
  </si>
  <si>
    <t>GRD-IC-2100P</t>
  </si>
  <si>
    <t>OPW 2100 SERIES BUCKET</t>
  </si>
  <si>
    <t>GRD-IC-2100D</t>
  </si>
  <si>
    <t>WATER BLOCKER</t>
  </si>
  <si>
    <t>GRD-IAC-WETWELD</t>
  </si>
  <si>
    <t>PETRO SEAL</t>
  </si>
  <si>
    <t>GRD-IAC-PS200</t>
  </si>
  <si>
    <t>POLY FUSE 50ML</t>
  </si>
  <si>
    <t>GRD-IAC-PFUSE50</t>
  </si>
  <si>
    <t>POLY FUSE 250</t>
  </si>
  <si>
    <t>GRD-IAC-PFUSE250</t>
  </si>
  <si>
    <t>POLY FUSE 250 ML GUN</t>
  </si>
  <si>
    <t>GRD-IAC-MGUN200</t>
  </si>
  <si>
    <t>UNDERWATER BONDING AGENT</t>
  </si>
  <si>
    <t>GRD-IAC-IBOND50H20</t>
  </si>
  <si>
    <t>FAST SET BONDER</t>
  </si>
  <si>
    <t>GRD-IAC-IBOND50FS</t>
  </si>
  <si>
    <t>STRUCTURAL BONDER</t>
  </si>
  <si>
    <t>GRD-IAC-IBOND50</t>
  </si>
  <si>
    <t>FIBER FUSE</t>
  </si>
  <si>
    <t>GRD-IAC-FIBERFUSE</t>
  </si>
  <si>
    <t>FAST FOAM ICON</t>
  </si>
  <si>
    <t>GRD-IAC-FFOAM50</t>
  </si>
  <si>
    <t>GRD-IAC-FASTFILL</t>
  </si>
  <si>
    <t>OPW Fill Cap Gasket</t>
  </si>
  <si>
    <t>GRD-HO5995</t>
  </si>
  <si>
    <t>8" MULTIPORT GASKET</t>
  </si>
  <si>
    <t>GRD-H15240M</t>
  </si>
  <si>
    <t>MULTI PORT GASKET</t>
  </si>
  <si>
    <t>GRD-H15187M</t>
  </si>
  <si>
    <t>OPW CONQUISTADOR GASKET</t>
  </si>
  <si>
    <t>GRD-H14858</t>
  </si>
  <si>
    <t>71SO HARDWARE</t>
  </si>
  <si>
    <t>GRD-H14842</t>
  </si>
  <si>
    <t>Installation Hardware Kit</t>
  </si>
  <si>
    <t>GRD-H13363</t>
  </si>
  <si>
    <t>OPW 2100 SERIES GASKET</t>
  </si>
  <si>
    <t>GRD-H12229M</t>
  </si>
  <si>
    <t>61S0P ORING GASKET</t>
  </si>
  <si>
    <t>GRD-H11931M</t>
  </si>
  <si>
    <t>OPW GASKET</t>
  </si>
  <si>
    <t>GRD-H09039M</t>
  </si>
  <si>
    <t>CAGE (BALL FLOAT)</t>
  </si>
  <si>
    <t>GRD-H-08932</t>
  </si>
  <si>
    <t>3/4"X16' HOSE</t>
  </si>
  <si>
    <t>GRD-GY3/4X16MXM</t>
  </si>
  <si>
    <t>1"X8" WHIP</t>
  </si>
  <si>
    <t>GRD-GY1X8MXMWHIP</t>
  </si>
  <si>
    <t>1" X 10' MXM DIESEL HOSE</t>
  </si>
  <si>
    <t>GRD-GY1X10MXM</t>
  </si>
  <si>
    <t>3/4 SINGLE CONDUIT BOX</t>
  </si>
  <si>
    <t>GRD-GRD-APP-ERC</t>
  </si>
  <si>
    <t>MALE X FEMALE UNION</t>
  </si>
  <si>
    <t>GRD-GRD-APP UNY75NR</t>
  </si>
  <si>
    <t>LB</t>
  </si>
  <si>
    <t>GRD-GRD-APP LB75-A</t>
  </si>
  <si>
    <t>ROUND J-BOX</t>
  </si>
  <si>
    <t>GRD-GRD-APP GRUJ-2P</t>
  </si>
  <si>
    <t>2" FLEX HOSE</t>
  </si>
  <si>
    <t>GRD-FSMS2024</t>
  </si>
  <si>
    <t>M XM 2X18" FLEX</t>
  </si>
  <si>
    <t>GRD-FSFS2018</t>
  </si>
  <si>
    <t>FACE SEAL ADAPTOR</t>
  </si>
  <si>
    <t>GRD-FSA-400</t>
  </si>
  <si>
    <t>HYDRO INTERSTITIAL SENSOR XL</t>
  </si>
  <si>
    <t>GRD-FMP-HIS-XL</t>
  </si>
  <si>
    <t>DISC SENSOR TURBINE</t>
  </si>
  <si>
    <t>GRD-FMP-DTS</t>
  </si>
  <si>
    <t>DISC SENSOR</t>
  </si>
  <si>
    <t>GRD-FMP-DDS</t>
  </si>
  <si>
    <t>10" FIBERLITE SKIRT</t>
  </si>
  <si>
    <t>GRD-FL-SK10</t>
  </si>
  <si>
    <t>FLEX SEAL</t>
  </si>
  <si>
    <t>GRD-FLEX-SEALN</t>
  </si>
  <si>
    <t>GRD-FLEX-SEAL</t>
  </si>
  <si>
    <t>FIBERLITE LID</t>
  </si>
  <si>
    <t>GRD-FL-42-LID/BK</t>
  </si>
  <si>
    <t>FL 42" FRAME OR RING</t>
  </si>
  <si>
    <t>GRD-FL-42-FRAME</t>
  </si>
  <si>
    <t>FIBERLITE HEAVY DUTY</t>
  </si>
  <si>
    <t>GRD-FL42BLACK-HD</t>
  </si>
  <si>
    <t>42" BLACK FIBERLITE LID</t>
  </si>
  <si>
    <t>GRD-FL-42-BKN</t>
  </si>
  <si>
    <t>18" SKIRT</t>
  </si>
  <si>
    <t>GRD-FL-42/SK18</t>
  </si>
  <si>
    <t>12" FIBERGLASS SKIRT</t>
  </si>
  <si>
    <t>GRD-FL-42/SK12</t>
  </si>
  <si>
    <t>42" FIBERLITE SEAL</t>
  </si>
  <si>
    <t>GRD-FL100-SEAL</t>
  </si>
  <si>
    <t>39X2.0</t>
  </si>
  <si>
    <t>GRD-FI39X2.0</t>
  </si>
  <si>
    <t>FIBERGLASS SEAM KIT</t>
  </si>
  <si>
    <t>GRD-FG-SEAM-KIT</t>
  </si>
  <si>
    <t>Vari. Freq. Controller</t>
  </si>
  <si>
    <t>GRD-FE-VFC</t>
  </si>
  <si>
    <t>FE Petro Check Valve</t>
  </si>
  <si>
    <t>GRD-FE400988-932</t>
  </si>
  <si>
    <t>FE PETRO CK VALVE</t>
  </si>
  <si>
    <t>GRD-FE400988931</t>
  </si>
  <si>
    <t>FE PETRO RELIEF PLUG</t>
  </si>
  <si>
    <t>GRD-FE400616001N</t>
  </si>
  <si>
    <t>2 1/2IN VS2 PUMP HD PLUG</t>
  </si>
  <si>
    <t>GRD-FE-400589930</t>
  </si>
  <si>
    <t>FE PETRO SYP JET ASMBY</t>
  </si>
  <si>
    <t>GRD-FE400562901</t>
  </si>
  <si>
    <t>FE PETRO ORING</t>
  </si>
  <si>
    <t>GRD-FE400333343</t>
  </si>
  <si>
    <t>GRD-FE400333340</t>
  </si>
  <si>
    <t>GRD-FE400333238</t>
  </si>
  <si>
    <t>GRD-FE400333012N</t>
  </si>
  <si>
    <t>GRD-FE400333007N</t>
  </si>
  <si>
    <t>FE PETRO PUMP HEAD ORING</t>
  </si>
  <si>
    <t>GRD-FE-400-211-343</t>
  </si>
  <si>
    <t>GRD-FE-400-211-340</t>
  </si>
  <si>
    <t>F.E. Petro O-Ring</t>
  </si>
  <si>
    <t>GRD-FE400211-238</t>
  </si>
  <si>
    <t>GRD-FE400210-212</t>
  </si>
  <si>
    <t>F.E. Wire Connector Assy</t>
  </si>
  <si>
    <t>GRD-FE400200930</t>
  </si>
  <si>
    <t>FE PETRO PUMP COVER</t>
  </si>
  <si>
    <t>GRD-FE400197930</t>
  </si>
  <si>
    <t>CHECK VALVE SPRING</t>
  </si>
  <si>
    <t>GRD-FE400174930</t>
  </si>
  <si>
    <t>GRD-FE400172930</t>
  </si>
  <si>
    <t>FE Petro Connector</t>
  </si>
  <si>
    <t>GRD-FE400172901</t>
  </si>
  <si>
    <t>FE SYPHON CHECK VALVE</t>
  </si>
  <si>
    <t>GRD-FE400137937</t>
  </si>
  <si>
    <t>FE PETRO HARDWARE PACK</t>
  </si>
  <si>
    <t>GRD-FE152350902</t>
  </si>
  <si>
    <t>FE Petro Lead Assy</t>
  </si>
  <si>
    <t>GRD-FE151213930</t>
  </si>
  <si>
    <t>2" FLEX CONNECTOR MXMS</t>
  </si>
  <si>
    <t>GRD-FC20-SWM14</t>
  </si>
  <si>
    <t>11" WHITE FILL LID</t>
  </si>
  <si>
    <t>GRD-FC-11-WHITE</t>
  </si>
  <si>
    <t>FIBERLITE SEAL</t>
  </si>
  <si>
    <t>GRD-FC-11-SEAL</t>
  </si>
  <si>
    <t>RED 11" FILL COVER</t>
  </si>
  <si>
    <t>GRD-FC-11-RED</t>
  </si>
  <si>
    <t>FIBERLITE LID 10"</t>
  </si>
  <si>
    <t>GRD-FC-10-WHITE</t>
  </si>
  <si>
    <t>GRD-FC-10-RED</t>
  </si>
  <si>
    <t>10" YELLOW FILL COVER</t>
  </si>
  <si>
    <t>GRD-FC-10/YELLOW</t>
  </si>
  <si>
    <t>GRD-FC-10/SEAL</t>
  </si>
  <si>
    <t>EMCO Coax Fill Adapt</t>
  </si>
  <si>
    <t>GRD-EWA89-001</t>
  </si>
  <si>
    <t>EMCO HANDLE LID GASKET</t>
  </si>
  <si>
    <t>GRD-EWA567166</t>
  </si>
  <si>
    <t>EMCO HAND PUMP</t>
  </si>
  <si>
    <t>GRD-EWA0333-003</t>
  </si>
  <si>
    <t>BALL FLOAT W/EXTRACTOR</t>
  </si>
  <si>
    <t>GRD-EWA0078-008</t>
  </si>
  <si>
    <t>EMCO INNER BUCKET</t>
  </si>
  <si>
    <t>GRD-EW494350</t>
  </si>
  <si>
    <t>Push/Pull Drain Assy</t>
  </si>
  <si>
    <t>GRD-EW493508</t>
  </si>
  <si>
    <t>EW Domed Lid W/Seal</t>
  </si>
  <si>
    <t>GRD-EW493123</t>
  </si>
  <si>
    <t>PERMEATOR OIL</t>
  </si>
  <si>
    <t>GRD-ET11</t>
  </si>
  <si>
    <t>EMCO WH Fatboy Lid</t>
  </si>
  <si>
    <t>GRD-EMCO 566332</t>
  </si>
  <si>
    <t>EMCO WH Slimline Lid</t>
  </si>
  <si>
    <t>GRD-EMCO 493806</t>
  </si>
  <si>
    <t>ECP4</t>
  </si>
  <si>
    <t>GRD-ECP4</t>
  </si>
  <si>
    <t>EBW 4IN Vapor Adaptor</t>
  </si>
  <si>
    <t>GRD-EBW300-210-01</t>
  </si>
  <si>
    <t>POMECO BOLT DOWN LID</t>
  </si>
  <si>
    <t>GRD-E00630</t>
  </si>
  <si>
    <t>POMECO MANHOLE LID</t>
  </si>
  <si>
    <t>GRD-E00626</t>
  </si>
  <si>
    <t>GRD-E00622</t>
  </si>
  <si>
    <t>CONQUISTADOR LID 39"</t>
  </si>
  <si>
    <t>GRD-E00618</t>
  </si>
  <si>
    <t>18" MONT WELL LID</t>
  </si>
  <si>
    <t>GRD-E00516I</t>
  </si>
  <si>
    <t>104A 18" OPW LID</t>
  </si>
  <si>
    <t>GRD-E00512M</t>
  </si>
  <si>
    <t>104A 12" MANHOLD LID</t>
  </si>
  <si>
    <t>GRD-E00510M</t>
  </si>
  <si>
    <t>8" MANHOLE LID</t>
  </si>
  <si>
    <t>GRD-E00508M</t>
  </si>
  <si>
    <t>OPW LID</t>
  </si>
  <si>
    <t>GRD-E00299M</t>
  </si>
  <si>
    <t>VERIFONE SCANNER</t>
  </si>
  <si>
    <t>GRD-DS-9208</t>
  </si>
  <si>
    <t>OPEN TOP DOT BARREL</t>
  </si>
  <si>
    <t>GRD-DOTOT</t>
  </si>
  <si>
    <t>17H 55 Gal DOT Drum</t>
  </si>
  <si>
    <t>GRD-DOT</t>
  </si>
  <si>
    <t>DRY LUBE</t>
  </si>
  <si>
    <t>GRD-DL40Z6PK</t>
  </si>
  <si>
    <t>EB DOUBLE ENTRY BOOT</t>
  </si>
  <si>
    <t>GRD-DEB-0751</t>
  </si>
  <si>
    <t>4" DOUBLE ENTRY BOOT</t>
  </si>
  <si>
    <t>GRD-DEB-0400</t>
  </si>
  <si>
    <t>EV 2" X 2" DOUBLE LCSX ENTRY B</t>
  </si>
  <si>
    <t>GRD-DEB-0200X</t>
  </si>
  <si>
    <t>EV 2" X 2" DOUBLE ENTRY BOOT</t>
  </si>
  <si>
    <t>GRD-DEB-0200</t>
  </si>
  <si>
    <t>EV 1.5"X1.5" DOUBLE ENTRY BOOT</t>
  </si>
  <si>
    <t>GRD-DEB-0150</t>
  </si>
  <si>
    <t>FILL BULKHEAD MIXER</t>
  </si>
  <si>
    <t>GRD-DBF</t>
  </si>
  <si>
    <t>ADHESIVE BONDER</t>
  </si>
  <si>
    <t>GRD-DBBV</t>
  </si>
  <si>
    <t>5 GAL SHROUD BOOT</t>
  </si>
  <si>
    <t>GRD-D02575M</t>
  </si>
  <si>
    <t>INLET TUBE FOR OPW DROP TUBE</t>
  </si>
  <si>
    <t>GRD-D02508</t>
  </si>
  <si>
    <t>GRD-D02238</t>
  </si>
  <si>
    <t>104 13" OPW LID</t>
  </si>
  <si>
    <t>GRD-D00173M</t>
  </si>
  <si>
    <t>7-11 SPEC PUMP TOPPER</t>
  </si>
  <si>
    <t>GRD-CT-XL</t>
  </si>
  <si>
    <t>1.5" TEE FITTING COAX</t>
  </si>
  <si>
    <t>GRD-CTF-1515</t>
  </si>
  <si>
    <t>1.5" RISER PIP ADAPT COAX</t>
  </si>
  <si>
    <t>GRD-CRA-1515</t>
  </si>
  <si>
    <t>1.5" REPAIR COUPLING COAX</t>
  </si>
  <si>
    <t>GRD-CPC-1502R</t>
  </si>
  <si>
    <t>GRD-CPC-1502</t>
  </si>
  <si>
    <t>EV 2"X 2" COAXIAL PIPE ADAPTER</t>
  </si>
  <si>
    <t>GRD-CPA-2020</t>
  </si>
  <si>
    <t>1.5" PIPE ADAPTORS COAX</t>
  </si>
  <si>
    <t>GRD-CPA-1520</t>
  </si>
  <si>
    <t>OPW COAXIAL FITTING ORINGS</t>
  </si>
  <si>
    <t>GRD-COK-0015</t>
  </si>
  <si>
    <t>EV 2" COAXIAL ELBOW FITTING</t>
  </si>
  <si>
    <t>GRD-CEF-2020</t>
  </si>
  <si>
    <t>COAX ELBOW FITTING</t>
  </si>
  <si>
    <t>GRD-CEF-1515</t>
  </si>
  <si>
    <t>GRD-CBUNF205</t>
  </si>
  <si>
    <t>3/4 OELB COND BODY &amp; COVR</t>
  </si>
  <si>
    <t>GRD-CBOELB2</t>
  </si>
  <si>
    <t>3/4 90 DEGREE</t>
  </si>
  <si>
    <t>GRD-CBLBY25</t>
  </si>
  <si>
    <t>3/4 FEM COND SEAL</t>
  </si>
  <si>
    <t>GRD-CBEYS21</t>
  </si>
  <si>
    <t>GRD-CBEYS2</t>
  </si>
  <si>
    <t>191 3/4" 3PC COUP</t>
  </si>
  <si>
    <t>GRD-CB191</t>
  </si>
  <si>
    <t>25' ETHERNET CABLE</t>
  </si>
  <si>
    <t>GRD-CAT5e</t>
  </si>
  <si>
    <t>50' CAT CABLE RED</t>
  </si>
  <si>
    <t>GRD-CAT50RED</t>
  </si>
  <si>
    <t>CAT CABLE 50' BLUE</t>
  </si>
  <si>
    <t>GRD-CAT50BLUE</t>
  </si>
  <si>
    <t>25' RED CAT CABLE</t>
  </si>
  <si>
    <t>GRD-CAT25RED</t>
  </si>
  <si>
    <t>CAT CABLE 25'</t>
  </si>
  <si>
    <t>GRD-CAT25BLUE</t>
  </si>
  <si>
    <t>100' RED CAT CABLE</t>
  </si>
  <si>
    <t>GRD-CAT100RED</t>
  </si>
  <si>
    <t>100' CAT CABLE BLUE</t>
  </si>
  <si>
    <t>GRD-CAT100BLUE</t>
  </si>
  <si>
    <t>PI 1.5" DW PRIMARY PIPE 250</t>
  </si>
  <si>
    <t>GRD-C15-250</t>
  </si>
  <si>
    <t>SPILL BUCKET GASKET</t>
  </si>
  <si>
    <t>GRD-C05170M</t>
  </si>
  <si>
    <t>BIOCIDE TREATMENT</t>
  </si>
  <si>
    <t>GRD-BIOCIDE6000</t>
  </si>
  <si>
    <t>EV 4" LINED ACCESS PIPE</t>
  </si>
  <si>
    <t>GRD-AXP40-100</t>
  </si>
  <si>
    <t>AVANTI GROUT</t>
  </si>
  <si>
    <t>GRD-AV-202</t>
  </si>
  <si>
    <t>AMERON 2" CAP</t>
  </si>
  <si>
    <t>GRD-AM-CAP-2</t>
  </si>
  <si>
    <t>6 PK. PSX-20 ADHESIVE</t>
  </si>
  <si>
    <t>GRD-AM-502101025</t>
  </si>
  <si>
    <t>3X2 PRIMARY REDUCER BUSHING</t>
  </si>
  <si>
    <t>GRD-AM-32370504</t>
  </si>
  <si>
    <t>3IN PRIMARY SLEEVE COUPLING</t>
  </si>
  <si>
    <t>GRD-AM-30850707</t>
  </si>
  <si>
    <t>3IN CONTAINMENT PIPE</t>
  </si>
  <si>
    <t>GRD-AM-308354381</t>
  </si>
  <si>
    <t>3IN PRIMARY TEE</t>
  </si>
  <si>
    <t>GRD-AM-30378007</t>
  </si>
  <si>
    <t>3IN 2PC. CONT. SLEEVE COUPLING</t>
  </si>
  <si>
    <t>GRD-AM-30370703</t>
  </si>
  <si>
    <t>2IN PRIMARY SLEEVE COUPLING</t>
  </si>
  <si>
    <t>GRD-AM-20850707</t>
  </si>
  <si>
    <t>2IN PRIMARY PIPE SXS</t>
  </si>
  <si>
    <t>GRD-AM-208354386</t>
  </si>
  <si>
    <t>2IN PRIMARY TEE</t>
  </si>
  <si>
    <t>GRD-AM-20378007</t>
  </si>
  <si>
    <t>2IN PRIMARY 90 ELBOW</t>
  </si>
  <si>
    <t>GRD-AM-20372108</t>
  </si>
  <si>
    <t>2IN PRIMARY 45 ELBOW</t>
  </si>
  <si>
    <t>GRD-AM-20371508</t>
  </si>
  <si>
    <t>2IN PRIMARY REPAIR COUPLING</t>
  </si>
  <si>
    <t>GRD-AM-20370802</t>
  </si>
  <si>
    <t>2IN PRIMARY BXM NPT FITTING</t>
  </si>
  <si>
    <t>GRD-AM-20370202</t>
  </si>
  <si>
    <t>2IN PRIMARY SXM NPT FITTING</t>
  </si>
  <si>
    <t>GRD-AM-20350206</t>
  </si>
  <si>
    <t>2IN PRIMARY BXF NPT FITTING</t>
  </si>
  <si>
    <t>GRD-AM-20350203</t>
  </si>
  <si>
    <t>2IN CHEM CURE PAKS</t>
  </si>
  <si>
    <t>GRD-AM-20200400</t>
  </si>
  <si>
    <t>GRD-AC8007</t>
  </si>
  <si>
    <t>EMCO RISER</t>
  </si>
  <si>
    <t>GRD-A7901-306k</t>
  </si>
  <si>
    <t>EMCO DOUBLE WALL</t>
  </si>
  <si>
    <t>GRD-A1004-210S</t>
  </si>
  <si>
    <t>REPLACEMENT WRENCH TOOL</t>
  </si>
  <si>
    <t>GRD-A0081-001H</t>
  </si>
  <si>
    <t>EMCO SHEAR VALVE</t>
  </si>
  <si>
    <t>GRD-A0060-023</t>
  </si>
  <si>
    <t>RJ CONTROLD BOX</t>
  </si>
  <si>
    <t>GRD-880-051-1</t>
  </si>
  <si>
    <t>VSFC KIT</t>
  </si>
  <si>
    <t>GRD-856194-001</t>
  </si>
  <si>
    <t>PHIL TITE DRAIN</t>
  </si>
  <si>
    <t>GRD-85400</t>
  </si>
  <si>
    <t>RING FOR PHIL TITE BUCKET</t>
  </si>
  <si>
    <t>GRD-85031-1</t>
  </si>
  <si>
    <t>PHIL TITE BOLT DOWN</t>
  </si>
  <si>
    <t>GRD-818-404-001</t>
  </si>
  <si>
    <t>EBW LID</t>
  </si>
  <si>
    <t>GRD-818-307-01</t>
  </si>
  <si>
    <t>18" GASKET FOR EBW LID</t>
  </si>
  <si>
    <t>GRD-818-303-01</t>
  </si>
  <si>
    <t>WASHER BUCKET BRACKETS</t>
  </si>
  <si>
    <t>GRD-793160</t>
  </si>
  <si>
    <t>36" REPLACEMENT COVER</t>
  </si>
  <si>
    <t>GRD-781-456-06</t>
  </si>
  <si>
    <t>SAFELITE LID 43"</t>
  </si>
  <si>
    <t>GRD-781-445-06</t>
  </si>
  <si>
    <t>SAFE LITE LID 44"</t>
  </si>
  <si>
    <t>GRD-781-441-06</t>
  </si>
  <si>
    <t>19" WAWA LID EBW</t>
  </si>
  <si>
    <t>GRD-781-304-01</t>
  </si>
  <si>
    <t>6"MONITORING WELL CAP</t>
  </si>
  <si>
    <t>GRD-77210901</t>
  </si>
  <si>
    <t>4" MON WELL CAP</t>
  </si>
  <si>
    <t>GRD-77210201</t>
  </si>
  <si>
    <t>FRANKLIN FUEL DROP TUBE</t>
  </si>
  <si>
    <t>GRD-708592902</t>
  </si>
  <si>
    <t>WA DEF DROP TUBE</t>
  </si>
  <si>
    <t>GRD-70859201</t>
  </si>
  <si>
    <t>DEFENDER VLAVE</t>
  </si>
  <si>
    <t>GRD-708590930</t>
  </si>
  <si>
    <t>GRD-708590903</t>
  </si>
  <si>
    <t>INSPECTION PORT SENSOR</t>
  </si>
  <si>
    <t>GRD-70551001</t>
  </si>
  <si>
    <t>EBW LID WAWA</t>
  </si>
  <si>
    <t>GRD-705-423-02</t>
  </si>
  <si>
    <t>EBW SLIP ON BUCKET</t>
  </si>
  <si>
    <t>GRD-70540001BLK</t>
  </si>
  <si>
    <t>EBW GASKET</t>
  </si>
  <si>
    <t>GRD-705-334-01</t>
  </si>
  <si>
    <t>EBW DRAIN</t>
  </si>
  <si>
    <t>GRD-705-255</t>
  </si>
  <si>
    <t>1/16" CABLE ZINC</t>
  </si>
  <si>
    <t>GRD-7000227</t>
  </si>
  <si>
    <t>MONITORING WELL LID</t>
  </si>
  <si>
    <t>GRD-65TE-12-B1</t>
  </si>
  <si>
    <t>CISCO RV042 ROUTER</t>
  </si>
  <si>
    <t>GRD-654632</t>
  </si>
  <si>
    <t>12" MONT LID</t>
  </si>
  <si>
    <t>GRD-65-1212</t>
  </si>
  <si>
    <t>4" BRONE VAPOR SWIVEL ADAPT</t>
  </si>
  <si>
    <t>GRD-61VSA-1020-EVR</t>
  </si>
  <si>
    <t>COAX DROP TUBE</t>
  </si>
  <si>
    <t>GRD-61SOP-4002</t>
  </si>
  <si>
    <t>JACK SCREW KIT</t>
  </si>
  <si>
    <t>GRD-61JSK-44CB</t>
  </si>
  <si>
    <t>COMPOSITE JACK SCREW KIT</t>
  </si>
  <si>
    <t>GRD-61JSK-4410</t>
  </si>
  <si>
    <t>42" MANHOLE &amp; LID</t>
  </si>
  <si>
    <t>GRD-6110-4200</t>
  </si>
  <si>
    <t>OPW MANHOLE</t>
  </si>
  <si>
    <t>GRD-6110-3710</t>
  </si>
  <si>
    <t>HIGH HOSE RETRACTOR</t>
  </si>
  <si>
    <t>GRD-6102-EC01</t>
  </si>
  <si>
    <t>VAPOR SAVER</t>
  </si>
  <si>
    <t>GRD-60VSPC-1001</t>
  </si>
  <si>
    <t>PHIL TITE LATCH</t>
  </si>
  <si>
    <t>GRD-602331001</t>
  </si>
  <si>
    <t>BRACKET ASSBLY FOR RISER ADAPT</t>
  </si>
  <si>
    <t>GRD-602330901</t>
  </si>
  <si>
    <t>FOAM FILTER</t>
  </si>
  <si>
    <t>GRD-602026001</t>
  </si>
  <si>
    <t>E-STOP COVER &amp; BOX</t>
  </si>
  <si>
    <t>GRD-5AFY4</t>
  </si>
  <si>
    <t>STP-DHI-120V</t>
  </si>
  <si>
    <t>GRD-5800300100</t>
  </si>
  <si>
    <t>BELLOW SEAL</t>
  </si>
  <si>
    <t>GRD-570069</t>
  </si>
  <si>
    <t>EMCO LID GASET</t>
  </si>
  <si>
    <t>GRD-570012</t>
  </si>
  <si>
    <t>DRAIN ADAPTER</t>
  </si>
  <si>
    <t>GRD-569576X</t>
  </si>
  <si>
    <t>EMW MONITOR WELL LID</t>
  </si>
  <si>
    <t>GRD-563980</t>
  </si>
  <si>
    <t>POS CONNECTION SET</t>
  </si>
  <si>
    <t>GRD-56000201</t>
  </si>
  <si>
    <t>2" SLIP ON ADAPTOR</t>
  </si>
  <si>
    <t>GRD-523-SA-1002</t>
  </si>
  <si>
    <t>SHEAR VALVE ANCHOR</t>
  </si>
  <si>
    <t>GRD-521KR-8012</t>
  </si>
  <si>
    <t>SHEAR VAVLE ANCHOR</t>
  </si>
  <si>
    <t>GRD-521KR-1280</t>
  </si>
  <si>
    <t>GRD-521KR-1260</t>
  </si>
  <si>
    <t>SOLENOID VALVE</t>
  </si>
  <si>
    <t>GRD-5000380</t>
  </si>
  <si>
    <t>DRAIN PLUG</t>
  </si>
  <si>
    <t>GRD-494697</t>
  </si>
  <si>
    <t>PUSH/PULL DRAIN ASSY</t>
  </si>
  <si>
    <t>GRD-494551N</t>
  </si>
  <si>
    <t>REPAIR KIT- PRIM RING</t>
  </si>
  <si>
    <t>GRD-494467</t>
  </si>
  <si>
    <t>REPAIR KIT-PRIM BELLOWS</t>
  </si>
  <si>
    <t>GRD-494350N</t>
  </si>
  <si>
    <t>48" X 72" BALLARD</t>
  </si>
  <si>
    <t>GRD-4-4972-S40</t>
  </si>
  <si>
    <t>ZIPPER BOOT</t>
  </si>
  <si>
    <t>GRD-436ZB</t>
  </si>
  <si>
    <t>OKI TONER</t>
  </si>
  <si>
    <t>GRD-43502001</t>
  </si>
  <si>
    <t>OKI DRUM FOR TONER</t>
  </si>
  <si>
    <t>GRD-43501901</t>
  </si>
  <si>
    <t>K60 HEATHER</t>
  </si>
  <si>
    <t>GRD-410-649-008</t>
  </si>
  <si>
    <t>RJ SCREW KIT</t>
  </si>
  <si>
    <t>GRD-410484-001</t>
  </si>
  <si>
    <t>MAGNETIC STARTER</t>
  </si>
  <si>
    <t>GRD-410-468-001</t>
  </si>
  <si>
    <t>ORING KIT SUMB PUMP</t>
  </si>
  <si>
    <t>GRD-410154-001</t>
  </si>
  <si>
    <t>CK VALVE ORING KIT</t>
  </si>
  <si>
    <t>GRD-410152-001</t>
  </si>
  <si>
    <t>STP-MLD-HCD LEAK DETECTOR</t>
  </si>
  <si>
    <t>GRD-401320902</t>
  </si>
  <si>
    <t>GRD-401320901</t>
  </si>
  <si>
    <t>RETAINING RING</t>
  </si>
  <si>
    <t>GRD-400249001</t>
  </si>
  <si>
    <t>FAIRFIELD 3/8 X 36" MANHOLE LI</t>
  </si>
  <si>
    <t>GRD-361C</t>
  </si>
  <si>
    <t>TRI SEAL SLIP ON PACK</t>
  </si>
  <si>
    <t>GRD-34KPACK</t>
  </si>
  <si>
    <t>RJ Functional EL Adj</t>
  </si>
  <si>
    <t>GRD-323-001-5</t>
  </si>
  <si>
    <t>38" MORRISON MANHOLE LID</t>
  </si>
  <si>
    <t>GRD-318L-3812ACC</t>
  </si>
  <si>
    <t>4" MONITORING CAP AND ADAPTER</t>
  </si>
  <si>
    <t>GRD-305XPA-1200AK</t>
  </si>
  <si>
    <t>2.5" OFF SET</t>
  </si>
  <si>
    <t>GRD-303-1525</t>
  </si>
  <si>
    <t>2" OFF SET</t>
  </si>
  <si>
    <t>GRD-303-1520</t>
  </si>
  <si>
    <t>1.5" OFF SET</t>
  </si>
  <si>
    <t>GRD-303-1515</t>
  </si>
  <si>
    <t>14Ft Tank Stick</t>
  </si>
  <si>
    <t>GRD-2S-14</t>
  </si>
  <si>
    <t>EMV PIN PAD CABLE</t>
  </si>
  <si>
    <t>GRD-296114928AB</t>
  </si>
  <si>
    <t>R J Transducer Elec.(Red)</t>
  </si>
  <si>
    <t>GRD-244-006-5</t>
  </si>
  <si>
    <t>4X2 EXTRACTOR FITTING W/O CGE</t>
  </si>
  <si>
    <t>GRD-2334420</t>
  </si>
  <si>
    <t>GASKET CS</t>
  </si>
  <si>
    <t>GRD-22E5120</t>
  </si>
  <si>
    <t>AMERON FIBERGLASS PIPE</t>
  </si>
  <si>
    <t>GRD-22854386</t>
  </si>
  <si>
    <t>AM 2" RUB TERM 35 PSI</t>
  </si>
  <si>
    <t>GRD-22482736</t>
  </si>
  <si>
    <t>2" AMERON LCX ELBOW 90</t>
  </si>
  <si>
    <t>GRD-22469201</t>
  </si>
  <si>
    <t>AM LCX 2" PIPE- 20'</t>
  </si>
  <si>
    <t>GRD-22464386</t>
  </si>
  <si>
    <t>AM 2" PRI BXM NPT FITTING</t>
  </si>
  <si>
    <t>GRD-22370202</t>
  </si>
  <si>
    <t>VISIGAUGE FLOAT SHORT</t>
  </si>
  <si>
    <t>GRD-211465</t>
  </si>
  <si>
    <t>SHORT GAUGE ADAPTER</t>
  </si>
  <si>
    <t>GRD-211062</t>
  </si>
  <si>
    <t>XERXIE RING 30"</t>
  </si>
  <si>
    <t>GRD-207590</t>
  </si>
  <si>
    <t>LOCKING LEVER 26"</t>
  </si>
  <si>
    <t>GRD-207589</t>
  </si>
  <si>
    <t>104A-1200WT LID</t>
  </si>
  <si>
    <t>GRD-206119</t>
  </si>
  <si>
    <t>XERXIE LID COVER 30"</t>
  </si>
  <si>
    <t>GRD-206110</t>
  </si>
  <si>
    <t>SENSOR ADAPTOR</t>
  </si>
  <si>
    <t>GRD-206017</t>
  </si>
  <si>
    <t>XERXIES 30" GASKET</t>
  </si>
  <si>
    <t>GRD-204645</t>
  </si>
  <si>
    <t>XERXES SUMP LID 26IN</t>
  </si>
  <si>
    <t>GRD-203327</t>
  </si>
  <si>
    <t>32" XERXIES GASKET</t>
  </si>
  <si>
    <t>GRD-203325</t>
  </si>
  <si>
    <t>SENSOR</t>
  </si>
  <si>
    <t>GRD-203269</t>
  </si>
  <si>
    <t>5 GAL BUCKET WITH PLUG</t>
  </si>
  <si>
    <t>GRD-202136-KIT</t>
  </si>
  <si>
    <t>EDGE REPAIR KIT</t>
  </si>
  <si>
    <t>GRD-202135-KIT</t>
  </si>
  <si>
    <t>SMALL VISIGAGUE ORING</t>
  </si>
  <si>
    <t>GRD-202013</t>
  </si>
  <si>
    <t>LARGE VISIGAUGE ORING</t>
  </si>
  <si>
    <t>GRD-201972</t>
  </si>
  <si>
    <t>VISIGUAGE</t>
  </si>
  <si>
    <t>GRD-201971</t>
  </si>
  <si>
    <t>ORING</t>
  </si>
  <si>
    <t>GRD-201692</t>
  </si>
  <si>
    <t>GASKET FOR IC-311 BUCKET</t>
  </si>
  <si>
    <t>GRD-201689</t>
  </si>
  <si>
    <t>DROP TUBE ASSY BOX</t>
  </si>
  <si>
    <t>GRD-201648</t>
  </si>
  <si>
    <t>LID RING BOLT DOWN KIT</t>
  </si>
  <si>
    <t>GRD-200262</t>
  </si>
  <si>
    <t>OPW SHEAR VAVLE</t>
  </si>
  <si>
    <t>GRD-200143</t>
  </si>
  <si>
    <t>PLUG KIT</t>
  </si>
  <si>
    <t>GRD-1DP-2100</t>
  </si>
  <si>
    <t>UNIV RETROFIT LID</t>
  </si>
  <si>
    <t>GRD-1943-2533</t>
  </si>
  <si>
    <t>Syphon Check Valve</t>
  </si>
  <si>
    <t>GRD-188-241-5</t>
  </si>
  <si>
    <t>FAIRFIELD LID</t>
  </si>
  <si>
    <t>GRD-180WT-LID</t>
  </si>
  <si>
    <t>Crind Cable</t>
  </si>
  <si>
    <t>GRD-168006</t>
  </si>
  <si>
    <t>Controller Cable</t>
  </si>
  <si>
    <t>GRD-168005</t>
  </si>
  <si>
    <t>MX915 RAIDIANT LOAD PINPAD</t>
  </si>
  <si>
    <t>GRD-1646-0129-8801U</t>
  </si>
  <si>
    <t>EPC4 WEPRY 16GB 2GB RAM MODEM</t>
  </si>
  <si>
    <t>GRD-1646-001-8801</t>
  </si>
  <si>
    <t>CURVED PUMP TOPPERS</t>
  </si>
  <si>
    <t>GRD-15-0480</t>
  </si>
  <si>
    <t>VERIPHONE CABLE</t>
  </si>
  <si>
    <t>GRD-13870-01</t>
  </si>
  <si>
    <t>12 POINT LOCK COVER</t>
  </si>
  <si>
    <t>GRD-12PLS-2</t>
  </si>
  <si>
    <t>PCI GASKET</t>
  </si>
  <si>
    <t>GRD-12PLS-14</t>
  </si>
  <si>
    <t>AO SMITH 90</t>
  </si>
  <si>
    <t>GRD-1202-360-4</t>
  </si>
  <si>
    <t>AO SMITH 2" BUSHING</t>
  </si>
  <si>
    <t>GRD-1202-231-4</t>
  </si>
  <si>
    <t>AO SMITH COUPLING</t>
  </si>
  <si>
    <t>GRD-1202-101-8</t>
  </si>
  <si>
    <t>12 GUAGE WIRE</t>
  </si>
  <si>
    <t>GRD-12 GUAGE WIRE</t>
  </si>
  <si>
    <t>4" THREAD PIP CAP DURATUFF</t>
  </si>
  <si>
    <t>GRD-116-7085</t>
  </si>
  <si>
    <t>AO SMITH 2" PIPING</t>
  </si>
  <si>
    <t>GRD-1102-069-1</t>
  </si>
  <si>
    <t>10 PLUS DP SHEAR VALVE</t>
  </si>
  <si>
    <t>GRD-10RPLUS-0152</t>
  </si>
  <si>
    <t>UNLEADED ID MARKER</t>
  </si>
  <si>
    <t>GRD-106U-0125</t>
  </si>
  <si>
    <t>PUL ID MARKER</t>
  </si>
  <si>
    <t>GRD-106P-0150</t>
  </si>
  <si>
    <t>#5 ID MARKER CONCRETE</t>
  </si>
  <si>
    <t>GRD-106N-5500</t>
  </si>
  <si>
    <t>#4 CONCRETE ID MARKER</t>
  </si>
  <si>
    <t>GRD-106N-4400</t>
  </si>
  <si>
    <t>#3 ID MARKER</t>
  </si>
  <si>
    <t>GRD-106N-3300</t>
  </si>
  <si>
    <t>#2 ID MARKER</t>
  </si>
  <si>
    <t>GRD-106N-2200</t>
  </si>
  <si>
    <t>#1 ID MARKER</t>
  </si>
  <si>
    <t>GRD-106N-1100</t>
  </si>
  <si>
    <t>18" MONITORING WELL MANHOLE</t>
  </si>
  <si>
    <t>GRD-104AOW-18</t>
  </si>
  <si>
    <t>GRD-104A-1819WT</t>
  </si>
  <si>
    <t>18" MANHOLE LID</t>
  </si>
  <si>
    <t>GRD-104A-1800WT</t>
  </si>
  <si>
    <t>GRD-104A-1800</t>
  </si>
  <si>
    <t>12" MANHOLE WITH LID OPW</t>
  </si>
  <si>
    <t>GRD-104A-1200</t>
  </si>
  <si>
    <t>8" MANHOLE</t>
  </si>
  <si>
    <t>GRD-104A-0800</t>
  </si>
  <si>
    <t>FUEL INHIBITOR</t>
  </si>
  <si>
    <t>GRD-1032FUELINHIB</t>
  </si>
  <si>
    <t>2" T-100 SYS 4 VALVE</t>
  </si>
  <si>
    <t>GRD-100-708</t>
  </si>
  <si>
    <t>Pipe Extension 4IN</t>
  </si>
  <si>
    <t>GRD-1002S-40</t>
  </si>
  <si>
    <t>4IN Pipe Extension</t>
  </si>
  <si>
    <t>GRD-1002L-40</t>
  </si>
  <si>
    <t>OPW Drain Valve</t>
  </si>
  <si>
    <t>GRD-1 DK2100</t>
  </si>
  <si>
    <t>TEST ADAPTER</t>
  </si>
  <si>
    <t>GRD0-OPW-202310</t>
  </si>
  <si>
    <t>30 AMP RELAY</t>
  </si>
  <si>
    <t>GRD-079-425-1</t>
  </si>
  <si>
    <t>4" GASKET</t>
  </si>
  <si>
    <t>GRD-031-136-1</t>
  </si>
  <si>
    <t>AO SMITH GLUE</t>
  </si>
  <si>
    <t>GRD-0299-000-0</t>
  </si>
  <si>
    <t>FITTING</t>
  </si>
  <si>
    <t>GRD-012030-626-0</t>
  </si>
  <si>
    <t>NOZZLE CRADLE</t>
  </si>
  <si>
    <t>GIL-WO3879-G1</t>
  </si>
  <si>
    <t>ADVANTAGE MAIN INTER CABLE</t>
  </si>
  <si>
    <t>GIL-WO3715-G2</t>
  </si>
  <si>
    <t>WIDE BASE FRAME 48"</t>
  </si>
  <si>
    <t>GIL-WO3573-01</t>
  </si>
  <si>
    <t>Cable K-Pad to Logic</t>
  </si>
  <si>
    <t>GIL-WO3410-G2</t>
  </si>
  <si>
    <t>Crindhead MN Display</t>
  </si>
  <si>
    <t>GIL-WO2107-G2</t>
  </si>
  <si>
    <t>GIL-WO2107-G1</t>
  </si>
  <si>
    <t>Hiline/SLSMAKR Logic</t>
  </si>
  <si>
    <t>GIL-WO2061-G1</t>
  </si>
  <si>
    <t>Hiline Regulator Brd</t>
  </si>
  <si>
    <t>GIL-WO1854-G7</t>
  </si>
  <si>
    <t>MPD 1/A3 Reg Board</t>
  </si>
  <si>
    <t>GIL-WO1815-G1</t>
  </si>
  <si>
    <t>Hiline Logic Brd</t>
  </si>
  <si>
    <t>GIL-WO1520-G1</t>
  </si>
  <si>
    <t>Hiline Reg. Board</t>
  </si>
  <si>
    <t>GIL-WO1513-G1</t>
  </si>
  <si>
    <t>Dual Front Display</t>
  </si>
  <si>
    <t>GIL-WO1510-G1</t>
  </si>
  <si>
    <t>DOOR CABLE ASSY</t>
  </si>
  <si>
    <t>GIL-W03690-G4</t>
  </si>
  <si>
    <t>SHELL V-POWER LOWER DOOR</t>
  </si>
  <si>
    <t>GIL-W02959-G392</t>
  </si>
  <si>
    <t>WAWA DECAL</t>
  </si>
  <si>
    <t>GIL-W02950-74</t>
  </si>
  <si>
    <t>3 GRADE DECAL FOR B78</t>
  </si>
  <si>
    <t>GIL-W02873-294</t>
  </si>
  <si>
    <t>BLNDR WF 3+0 WAWA</t>
  </si>
  <si>
    <t>GIL-W02872-354</t>
  </si>
  <si>
    <t>STAINLESS STEAL SIDE SHEATHING</t>
  </si>
  <si>
    <t>GIL-W02871-03</t>
  </si>
  <si>
    <t>WAWA SPEC DOOR</t>
  </si>
  <si>
    <t>GIL-W02755-G191</t>
  </si>
  <si>
    <t>5 GRADE REF DOOR</t>
  </si>
  <si>
    <t>GIL-W02474-G361</t>
  </si>
  <si>
    <t>REFRIGERATOR DOOR</t>
  </si>
  <si>
    <t>GIL-W02474-G331</t>
  </si>
  <si>
    <t>UNLIGHTED BLACK COKE DOOR</t>
  </si>
  <si>
    <t>GIL-W02472-G411</t>
  </si>
  <si>
    <t>MAIN AC CABLE</t>
  </si>
  <si>
    <t>GIL-W02468-G4</t>
  </si>
  <si>
    <t>TEST FIFO SYSTEM</t>
  </si>
  <si>
    <t>GIL-TEST</t>
  </si>
  <si>
    <t>EPP ADA SFTKEY OVERLAY</t>
  </si>
  <si>
    <t>GIL-T50185-G005</t>
  </si>
  <si>
    <t>ADV MONO SOFT OVRLY</t>
  </si>
  <si>
    <t>GIL-T50180G002</t>
  </si>
  <si>
    <t>ADV MONO SOFTKY WAWA</t>
  </si>
  <si>
    <t>GIL-T50180G001</t>
  </si>
  <si>
    <t>EPP OVERLAY</t>
  </si>
  <si>
    <t>GIL-T50178G020</t>
  </si>
  <si>
    <t>ADV LEFT OPT PNL EPP OVERLAY</t>
  </si>
  <si>
    <t>GIL-T50178G017</t>
  </si>
  <si>
    <t>Opt Terms of Sale</t>
  </si>
  <si>
    <t>GIL-T50115-G7</t>
  </si>
  <si>
    <t>SHELL CRIND OVERLAY</t>
  </si>
  <si>
    <t>GIL-T50064-1093</t>
  </si>
  <si>
    <t>Adv MPD Debit Overlay</t>
  </si>
  <si>
    <t>GIL-T50064-1091</t>
  </si>
  <si>
    <t>SUNOCO OVERLAY</t>
  </si>
  <si>
    <t>GIL-T50064-01</t>
  </si>
  <si>
    <t>WAWA MON KEYPAD OVERLAY</t>
  </si>
  <si>
    <t>GIL-T50038-1147</t>
  </si>
  <si>
    <t>Crind Printer Assembly</t>
  </si>
  <si>
    <t>GIL-T20414-G1</t>
  </si>
  <si>
    <t>CRIND DISPLAY BOARD</t>
  </si>
  <si>
    <t>GIL-T20379-G4</t>
  </si>
  <si>
    <t>BLEND BUTTON BRAK</t>
  </si>
  <si>
    <t>GIL-T20347-G1</t>
  </si>
  <si>
    <t>CRIND REG BRD</t>
  </si>
  <si>
    <t>GIL-T20306-G1</t>
  </si>
  <si>
    <t>PUMP CONTROL ASSY</t>
  </si>
  <si>
    <t>GIL-T20092-G1</t>
  </si>
  <si>
    <t>Opt Adv Hyd Intrface</t>
  </si>
  <si>
    <t>GIL-T20076-G3</t>
  </si>
  <si>
    <t>Adv Hyd Interface</t>
  </si>
  <si>
    <t>GIL-T20076-G1</t>
  </si>
  <si>
    <t>DIGITAL VALE 2 STEM</t>
  </si>
  <si>
    <t>GIL-T20013-G1</t>
  </si>
  <si>
    <t>Adv Pump Cntrl Brd</t>
  </si>
  <si>
    <t>GIL-T20005-G4</t>
  </si>
  <si>
    <t>METER ASSY</t>
  </si>
  <si>
    <t>GIL-T19976-V10S</t>
  </si>
  <si>
    <t>C+ Meter</t>
  </si>
  <si>
    <t>GIL-T19976-G3</t>
  </si>
  <si>
    <t>GIL CABLE ASSY</t>
  </si>
  <si>
    <t>GIL-T19793-G1</t>
  </si>
  <si>
    <t>Adv MPD Keypad</t>
  </si>
  <si>
    <t>GIL-T19760-10</t>
  </si>
  <si>
    <t>Membrane Switch</t>
  </si>
  <si>
    <t>GIL-T19684-03</t>
  </si>
  <si>
    <t>CRIND KEYPAD</t>
  </si>
  <si>
    <t>GIL-T19569-10</t>
  </si>
  <si>
    <t>ENCORE DBOX BRD</t>
  </si>
  <si>
    <t>GIL-T19547-G1</t>
  </si>
  <si>
    <t>Monochrome CPU Board</t>
  </si>
  <si>
    <t>GIL-T19501-G2</t>
  </si>
  <si>
    <t>Control Board V/Vac</t>
  </si>
  <si>
    <t>GIL-T19401-G2</t>
  </si>
  <si>
    <t>Adv Membrane Switch</t>
  </si>
  <si>
    <t>GIL-T19370-13</t>
  </si>
  <si>
    <t>IS BARRIER ASSY</t>
  </si>
  <si>
    <t>GIL-T19301-G1</t>
  </si>
  <si>
    <t>PUMP HYD INTERFACE</t>
  </si>
  <si>
    <t>GIL-T18994-G1</t>
  </si>
  <si>
    <t>Adv Terms Of Sale</t>
  </si>
  <si>
    <t>GIL-T18835-G1</t>
  </si>
  <si>
    <t>PROPORTIONAL BLEND VALVE</t>
  </si>
  <si>
    <t>GIL-T18815</t>
  </si>
  <si>
    <t>OPT ADV MN DISPLAY</t>
  </si>
  <si>
    <t>GIL-T18783</t>
  </si>
  <si>
    <t>EXXON CRIND DECAL</t>
  </si>
  <si>
    <t>GIL-T18781-G112</t>
  </si>
  <si>
    <t>KEYPAD</t>
  </si>
  <si>
    <t>GIL-T18724-01A</t>
  </si>
  <si>
    <t>BACKLIGHT REG BRD ADV</t>
  </si>
  <si>
    <t>GIL-T18708-G1</t>
  </si>
  <si>
    <t>Adv. PPU Single Level</t>
  </si>
  <si>
    <t>GIL-T18699-G2</t>
  </si>
  <si>
    <t>Adv. Single PPU</t>
  </si>
  <si>
    <t>GIL-T18699-G1</t>
  </si>
  <si>
    <t>CLEAR LENS MAIN DISPLAY</t>
  </si>
  <si>
    <t>GIL-T18651-G1</t>
  </si>
  <si>
    <t>48" BLACK TOP COVER</t>
  </si>
  <si>
    <t>GIL-T18600-01</t>
  </si>
  <si>
    <t>Adv Handle Outer</t>
  </si>
  <si>
    <t>GIL-T18400-10</t>
  </si>
  <si>
    <t>ENCORE 500 PULSER</t>
  </si>
  <si>
    <t>GIL-T18350-G6</t>
  </si>
  <si>
    <t>Adv Pulser Optimized/M04011B00</t>
  </si>
  <si>
    <t>GIL-T18350-G4</t>
  </si>
  <si>
    <t>Advantage Pulser</t>
  </si>
  <si>
    <t>GIL-T18350-G3</t>
  </si>
  <si>
    <t>HILINE PULSER</t>
  </si>
  <si>
    <t>GIL-T18350-G1</t>
  </si>
  <si>
    <t>Adv Pump Contrlr Brd</t>
  </si>
  <si>
    <t>GIL-T18202-G4</t>
  </si>
  <si>
    <t>Crind Printer Assy</t>
  </si>
  <si>
    <t>GIL-T18188-G6</t>
  </si>
  <si>
    <t>GIL-T18188-G5</t>
  </si>
  <si>
    <t>VAPOR CABLE</t>
  </si>
  <si>
    <t>GIL-T18186-G1</t>
  </si>
  <si>
    <t>Blnd Hyd Contrl Brd</t>
  </si>
  <si>
    <t>GIL-T18156-G1</t>
  </si>
  <si>
    <t>Adv Hyd Intrfce V/V</t>
  </si>
  <si>
    <t>GIL-T18024-G2</t>
  </si>
  <si>
    <t>Vapor Motor Drive Board</t>
  </si>
  <si>
    <t>GIL-T18018-G1</t>
  </si>
  <si>
    <t>Valve Driver BD V/V</t>
  </si>
  <si>
    <t>GIL-T18015-G1</t>
  </si>
  <si>
    <t>GIL-T17962-G2</t>
  </si>
  <si>
    <t>Adv Main Display</t>
  </si>
  <si>
    <t>GIL-T17962-G1</t>
  </si>
  <si>
    <t>PANEL 1H BLNK HOSE RT END 2332</t>
  </si>
  <si>
    <t>GIL-T17955-G1</t>
  </si>
  <si>
    <t>GIL-T17952-G1</t>
  </si>
  <si>
    <t>VAP VAC Pump (Lower)</t>
  </si>
  <si>
    <t>GIL-T17942</t>
  </si>
  <si>
    <t>VAP REC CABLE ASSY</t>
  </si>
  <si>
    <t>GIL-T17931-G2</t>
  </si>
  <si>
    <t>VAPOR VALVE</t>
  </si>
  <si>
    <t>GIL-T17909</t>
  </si>
  <si>
    <t>Crind Regulator Brd</t>
  </si>
  <si>
    <t>GIL-T17840-G2</t>
  </si>
  <si>
    <t>ISOLATION RELAY BRD</t>
  </si>
  <si>
    <t>GIL-T17786-G1</t>
  </si>
  <si>
    <t>36" PPU LENS FRAME</t>
  </si>
  <si>
    <t>GIL-T17774-03</t>
  </si>
  <si>
    <t>GRADE SELECT BRACKET</t>
  </si>
  <si>
    <t>GIL-T17773-03</t>
  </si>
  <si>
    <t>Adv MN Reg Brd</t>
  </si>
  <si>
    <t>GIL-T17723-G2</t>
  </si>
  <si>
    <t>TS1000 D-Box Brd</t>
  </si>
  <si>
    <t>GIL-T17651-G1</t>
  </si>
  <si>
    <t>Display Window</t>
  </si>
  <si>
    <t>GIL-T17635-02</t>
  </si>
  <si>
    <t>Adv Backlite 0.5IN</t>
  </si>
  <si>
    <t>GIL-T17622-G8S</t>
  </si>
  <si>
    <t>Adv Backlite 1IN</t>
  </si>
  <si>
    <t>GIL-T17622-G6LG</t>
  </si>
  <si>
    <t>ADV BACKLITE 0.7IN</t>
  </si>
  <si>
    <t>GIL-T17622-G5MED</t>
  </si>
  <si>
    <t>Program Keypad</t>
  </si>
  <si>
    <t>GIL-T17549</t>
  </si>
  <si>
    <t>PPU Display Cable Adv</t>
  </si>
  <si>
    <t>GIL-T17536-G1</t>
  </si>
  <si>
    <t>Blen Driver Board</t>
  </si>
  <si>
    <t>GIL-T17461-G2</t>
  </si>
  <si>
    <t>Valve Drvr Processor</t>
  </si>
  <si>
    <t>GIL-T17461-G1</t>
  </si>
  <si>
    <t>TS1000 Memory Board</t>
  </si>
  <si>
    <t>GIL-T17122-G1</t>
  </si>
  <si>
    <t>Controller Backplane</t>
  </si>
  <si>
    <t>GIL-T16963-G1</t>
  </si>
  <si>
    <t>TS1000 Contrlr I/O</t>
  </si>
  <si>
    <t>GIL-T16957-G1</t>
  </si>
  <si>
    <t>TS1000 CPU Brd</t>
  </si>
  <si>
    <t>GIL-T16937-G1</t>
  </si>
  <si>
    <t>PPU Display Cable</t>
  </si>
  <si>
    <t>GIL-T16353-G1</t>
  </si>
  <si>
    <t>Modular SID Display</t>
  </si>
  <si>
    <t>GIL-T16226-G2/G3</t>
  </si>
  <si>
    <t>Mod Regulator Brd</t>
  </si>
  <si>
    <t>GIL-T15857-G1</t>
  </si>
  <si>
    <t>GIL-T15849-G2</t>
  </si>
  <si>
    <t>Mod Hyd Interface N/V</t>
  </si>
  <si>
    <t>GIL-T15849-G1</t>
  </si>
  <si>
    <t>Adv Pump Control Brd</t>
  </si>
  <si>
    <t>GIL-T15841-G3</t>
  </si>
  <si>
    <t>MOD Pump Cntrl Board</t>
  </si>
  <si>
    <t>GIL-T15841-G1</t>
  </si>
  <si>
    <t>SID DISPLAY</t>
  </si>
  <si>
    <t>GIL-T15077-G1</t>
  </si>
  <si>
    <t>Sid Display</t>
  </si>
  <si>
    <t>GIL-T14974-G1</t>
  </si>
  <si>
    <t>HIII IS BARRIER MECHANICAL</t>
  </si>
  <si>
    <t>GIL-T13713-G11</t>
  </si>
  <si>
    <t>H111 P.S. Chassis</t>
  </si>
  <si>
    <t>GIL-T12643-G2</t>
  </si>
  <si>
    <t>EDH SOFTWARE THUMBDRIVE</t>
  </si>
  <si>
    <t>GIL-S704-60024FDF</t>
  </si>
  <si>
    <t>PASSPORT USB DRIVE</t>
  </si>
  <si>
    <t>GIL-S704-60023FD</t>
  </si>
  <si>
    <t>EDH SOFTWARE W PASSPORT</t>
  </si>
  <si>
    <t>GIL-S704-60004FD</t>
  </si>
  <si>
    <t>RE-MAN METER</t>
  </si>
  <si>
    <t>GIL-RPA024TC10S</t>
  </si>
  <si>
    <t>ADV OCTANE OVERLAY KIT</t>
  </si>
  <si>
    <t>GIL-R60030-G17</t>
  </si>
  <si>
    <t>24 VAC MONO CABLE ASSY</t>
  </si>
  <si>
    <t>GIL-R20778-G1</t>
  </si>
  <si>
    <t>MONO TO BACKLT CABLE</t>
  </si>
  <si>
    <t>GIL-R20748-G1</t>
  </si>
  <si>
    <t>Adv Flapper Assy</t>
  </si>
  <si>
    <t>GIL-R20713-G1</t>
  </si>
  <si>
    <t>PRINTER CABLE ASSY</t>
  </si>
  <si>
    <t>GIL-R20651-G1</t>
  </si>
  <si>
    <t>DBOX POWER SUPPLY</t>
  </si>
  <si>
    <t>GIL-R20422-G1</t>
  </si>
  <si>
    <t>WAWA BLENDER LENS</t>
  </si>
  <si>
    <t>GIL-R20395-G01</t>
  </si>
  <si>
    <t>SODA BUTTON</t>
  </si>
  <si>
    <t>GIL-R20373-G1</t>
  </si>
  <si>
    <t>ORANGE FILLER PLATE</t>
  </si>
  <si>
    <t>GIL-R20289-01</t>
  </si>
  <si>
    <t>RIBBON CABLE ASSY</t>
  </si>
  <si>
    <t>GIL-R19667-G2</t>
  </si>
  <si>
    <t>V/V DATA CABLE</t>
  </si>
  <si>
    <t>GIL-R19666-G1</t>
  </si>
  <si>
    <t>ASSY RIBBON CABLE</t>
  </si>
  <si>
    <t>GIL-R19665-G1</t>
  </si>
  <si>
    <t>FILTER STRAINER</t>
  </si>
  <si>
    <t>GIL-R19457</t>
  </si>
  <si>
    <t>Graphic Overlay Blk</t>
  </si>
  <si>
    <t>GIL-R19429-G1</t>
  </si>
  <si>
    <t>FILTER CUP</t>
  </si>
  <si>
    <t>GIL-R19424</t>
  </si>
  <si>
    <t>CABLE ASSY</t>
  </si>
  <si>
    <t>GIL-R19281-G1</t>
  </si>
  <si>
    <t>Adv Handle Inner</t>
  </si>
  <si>
    <t>GIL-R19272-G1</t>
  </si>
  <si>
    <t>D-Box Ribbon Cable</t>
  </si>
  <si>
    <t>GIL-R19249-G1</t>
  </si>
  <si>
    <t>MAIN DISPLAY ADV</t>
  </si>
  <si>
    <t>GIL-R19246-02</t>
  </si>
  <si>
    <t>UPPER DOOR HINGE</t>
  </si>
  <si>
    <t>GIL-R19177-01</t>
  </si>
  <si>
    <t>Logic to Display Cab</t>
  </si>
  <si>
    <t>GIL-R19152-G2</t>
  </si>
  <si>
    <t>PPU ASSY SHAFT</t>
  </si>
  <si>
    <t>GIL-R19096-G1</t>
  </si>
  <si>
    <t>Adv/MPD Valve 2 -Stage</t>
  </si>
  <si>
    <t>GIL-R19093</t>
  </si>
  <si>
    <t>CABLE CONTROL K-PAD</t>
  </si>
  <si>
    <t>GIL-R19023</t>
  </si>
  <si>
    <t>PAM 5000 CABLE</t>
  </si>
  <si>
    <t>GIL-R1900-04</t>
  </si>
  <si>
    <t>PAM 5000 PUMP CALBE</t>
  </si>
  <si>
    <t>GIL-R1900-03</t>
  </si>
  <si>
    <t>GIL-R1900-02</t>
  </si>
  <si>
    <t>Adj Meter Plate</t>
  </si>
  <si>
    <t>GIL-R18912-01</t>
  </si>
  <si>
    <t>LEAF SPRING (GRADESELECT)</t>
  </si>
  <si>
    <t>GIL-R18837-01</t>
  </si>
  <si>
    <t>Retractor Guide</t>
  </si>
  <si>
    <t>GIL-R18453</t>
  </si>
  <si>
    <t>LOGIC TO REG CABLE</t>
  </si>
  <si>
    <t>GIL-R17995-G7</t>
  </si>
  <si>
    <t>GIL-R17995-G4</t>
  </si>
  <si>
    <t>PPU Window</t>
  </si>
  <si>
    <t>GIL-R16474-01</t>
  </si>
  <si>
    <t>Crind Window Gasket</t>
  </si>
  <si>
    <t>GIL-R15966-03</t>
  </si>
  <si>
    <t>HIII IS BARRIER</t>
  </si>
  <si>
    <t>GIL-R15225</t>
  </si>
  <si>
    <t>Dispenser Swivel</t>
  </si>
  <si>
    <t>GIL-R15085-02</t>
  </si>
  <si>
    <t>DISPENSER SWIVEL</t>
  </si>
  <si>
    <t>GIL-R15085-01</t>
  </si>
  <si>
    <t>Hydraulic Tree/Long</t>
  </si>
  <si>
    <t>GIL-R14670</t>
  </si>
  <si>
    <t>PULSER SECURITY  KIT TOOL</t>
  </si>
  <si>
    <t>GIL-Q13625-102</t>
  </si>
  <si>
    <t>DIGITAL VALVE REPAIR KIT</t>
  </si>
  <si>
    <t>GIL-Q13528-07</t>
  </si>
  <si>
    <t>CARD CLEANER</t>
  </si>
  <si>
    <t>GIL-Q13400</t>
  </si>
  <si>
    <t>LINE BOOSTER KIT</t>
  </si>
  <si>
    <t>GIL-Q13241-02</t>
  </si>
  <si>
    <t>GENDER MENDER</t>
  </si>
  <si>
    <t>GIL-Q13180-63B</t>
  </si>
  <si>
    <t>GIL-Q13180-46B</t>
  </si>
  <si>
    <t>GENDER MENDER 500</t>
  </si>
  <si>
    <t>GIL-Q13180-20B</t>
  </si>
  <si>
    <t>GENDER MENDER FEMALE</t>
  </si>
  <si>
    <t>GIL-Q13180-17B</t>
  </si>
  <si>
    <t>GENDER MENDER F/CITIZEN GSX190</t>
  </si>
  <si>
    <t>GIL-Q13180-10</t>
  </si>
  <si>
    <t>25 PIN GENDER MENDER</t>
  </si>
  <si>
    <t>GIL-Q13180-03</t>
  </si>
  <si>
    <t>POWER SUPPLY FOR PA0344104</t>
  </si>
  <si>
    <t>GIL-Q13178-10</t>
  </si>
  <si>
    <t>POWER SUPPLY FOR PA0344007</t>
  </si>
  <si>
    <t>GIL-Q13178-08</t>
  </si>
  <si>
    <t>235 WATT POWER SUPPLY</t>
  </si>
  <si>
    <t>GIL-Q13086-103</t>
  </si>
  <si>
    <t>STP ISOLATION RELAY</t>
  </si>
  <si>
    <t>GIL-Q13040-01</t>
  </si>
  <si>
    <t>ORING 1.234</t>
  </si>
  <si>
    <t>GIL-Q12974-218</t>
  </si>
  <si>
    <t>13 WT Fluorescent LP</t>
  </si>
  <si>
    <t>GIL-Q12929-02</t>
  </si>
  <si>
    <t>DRAW LATCH</t>
  </si>
  <si>
    <t>GIL-Q12563-01</t>
  </si>
  <si>
    <t>CRIND DOOR LOCK</t>
  </si>
  <si>
    <t>GIL-Q12542-01</t>
  </si>
  <si>
    <t>DIAGNOSTIC TEST CARD</t>
  </si>
  <si>
    <t>GIL-Q12534-170</t>
  </si>
  <si>
    <t>Printer Switch</t>
  </si>
  <si>
    <t>GIL-Q12530-01</t>
  </si>
  <si>
    <t>Crind Door Stud</t>
  </si>
  <si>
    <t>GIL-Q12519-02</t>
  </si>
  <si>
    <t>Crind Door Receptacle</t>
  </si>
  <si>
    <t>GIL-Q12519-01</t>
  </si>
  <si>
    <t>ENCORE PUMP HANDLE SWITCH</t>
  </si>
  <si>
    <t>GIL-Q12514-11</t>
  </si>
  <si>
    <t>E-500 HANDLE SWITCH</t>
  </si>
  <si>
    <t>GIL-Q12514-10</t>
  </si>
  <si>
    <t>GIL-Q12514-08</t>
  </si>
  <si>
    <t>GIL-Q12514-07</t>
  </si>
  <si>
    <t>REED HANDLE SWITCH 2 PRONG</t>
  </si>
  <si>
    <t>GIL-Q12514-06</t>
  </si>
  <si>
    <t>CND Printer Cntrl Brd</t>
  </si>
  <si>
    <t>GIL-Q12476-02/03</t>
  </si>
  <si>
    <t>Inc. Submin. Lamp</t>
  </si>
  <si>
    <t>GIL-Q12448-04</t>
  </si>
  <si>
    <t>300 LCD DISPLAY</t>
  </si>
  <si>
    <t>GIL-Q12444-03</t>
  </si>
  <si>
    <t>ADV DOOR GASKET</t>
  </si>
  <si>
    <t>GIL-Q12406-01</t>
  </si>
  <si>
    <t>ADV DOOR GASKET 250' ROLL</t>
  </si>
  <si>
    <t>GIL-Q12406</t>
  </si>
  <si>
    <t>TS1000 Control P.S.</t>
  </si>
  <si>
    <t>GIL-Q12207-G1</t>
  </si>
  <si>
    <t>FUSE HOLDER</t>
  </si>
  <si>
    <t>GIL-Q11781-01</t>
  </si>
  <si>
    <t>Speakers Crind Printer Door</t>
  </si>
  <si>
    <t>GIL-Q11590-01</t>
  </si>
  <si>
    <t>Pump Loop Cable 10'</t>
  </si>
  <si>
    <t>GIL-Q11542-52</t>
  </si>
  <si>
    <t>Crind Card Reader</t>
  </si>
  <si>
    <t>GIL-Q11489-06</t>
  </si>
  <si>
    <t>WALLACE CLEANING CARDS</t>
  </si>
  <si>
    <t>GIL-Q11482</t>
  </si>
  <si>
    <t>JUMPERS</t>
  </si>
  <si>
    <t>GIL-Q11011-01</t>
  </si>
  <si>
    <t>PRESTART RELAY</t>
  </si>
  <si>
    <t>GIL-Q11008-01</t>
  </si>
  <si>
    <t>GILBARCO CRIND KEY</t>
  </si>
  <si>
    <t>GIL-Q10898-115</t>
  </si>
  <si>
    <t>RELAY</t>
  </si>
  <si>
    <t>GIL-Q10895-07</t>
  </si>
  <si>
    <t>HIII NEOPREEN GASKET</t>
  </si>
  <si>
    <t>GIL-Q10546-02</t>
  </si>
  <si>
    <t>Adv Noz Hook Spring</t>
  </si>
  <si>
    <t>GIL-Q10226-06SP</t>
  </si>
  <si>
    <t>Manifold O-Ring</t>
  </si>
  <si>
    <t>GIL-Q10068-15</t>
  </si>
  <si>
    <t>In/Out O-Ring</t>
  </si>
  <si>
    <t>GIL-Q10068-14</t>
  </si>
  <si>
    <t>Manifold O-Ring Adv.</t>
  </si>
  <si>
    <t>GIL-Q10068-09</t>
  </si>
  <si>
    <t>Pilot Valve O-Ring</t>
  </si>
  <si>
    <t>GIL-Q10067-14</t>
  </si>
  <si>
    <t>PROPORTIONAL VALVE ORING</t>
  </si>
  <si>
    <t>GIL-Q10066-51</t>
  </si>
  <si>
    <t>ECO METER ORING</t>
  </si>
  <si>
    <t>GIL-Q10066-18</t>
  </si>
  <si>
    <t>3/4 CONV HOUSING</t>
  </si>
  <si>
    <t>GIL-PB-1394</t>
  </si>
  <si>
    <t>Universal D-Box</t>
  </si>
  <si>
    <t>GIL-PAO2610000010</t>
  </si>
  <si>
    <t>OUTER COLUMN SHEATHING</t>
  </si>
  <si>
    <t>GIL-PA05415B001PA0</t>
  </si>
  <si>
    <t>DIST BOX 110 V</t>
  </si>
  <si>
    <t>GIL-PA04220000222</t>
  </si>
  <si>
    <t>MX19</t>
  </si>
  <si>
    <t>GIL-PA04210007111</t>
  </si>
  <si>
    <t>EDH 2</t>
  </si>
  <si>
    <t>GIL-PA04190004A</t>
  </si>
  <si>
    <t>EXXON PIN PAD</t>
  </si>
  <si>
    <t>GIL-PA041200EMV2</t>
  </si>
  <si>
    <t>SUNOCO PIN PAD</t>
  </si>
  <si>
    <t>GIL-PA0412000SUN4R</t>
  </si>
  <si>
    <t>EPSON PASSPORT PRINTER</t>
  </si>
  <si>
    <t>GIL-PA04060013</t>
  </si>
  <si>
    <t>EPSON PASSPORT PRINTER RB</t>
  </si>
  <si>
    <t>GIL-PA03750013R</t>
  </si>
  <si>
    <t>APPLAUSE SERVER</t>
  </si>
  <si>
    <t>GIL-PA03580004</t>
  </si>
  <si>
    <t>TOUCH SCREEN</t>
  </si>
  <si>
    <t>GIL-PA03440104R</t>
  </si>
  <si>
    <t>15" TOUCH SCREEN</t>
  </si>
  <si>
    <t>GIL-PA0344007R</t>
  </si>
  <si>
    <t>BROTHER PRINTER</t>
  </si>
  <si>
    <t>GIL-PA0340008</t>
  </si>
  <si>
    <t>OKI PRINTER</t>
  </si>
  <si>
    <t>GIL-PA03400017</t>
  </si>
  <si>
    <t>GIL-PA03310004</t>
  </si>
  <si>
    <t>PASSPORT DISPLAY</t>
  </si>
  <si>
    <t>GIL-PA03270103A</t>
  </si>
  <si>
    <t>PASSPORT D BOX</t>
  </si>
  <si>
    <t>GIL-PA03060020</t>
  </si>
  <si>
    <t>ISOLATION RELAY BOX</t>
  </si>
  <si>
    <t>GIL-PA02870000000</t>
  </si>
  <si>
    <t>PASSPORT SCANNER</t>
  </si>
  <si>
    <t>GIL-PA02710513</t>
  </si>
  <si>
    <t>SUNOCO GSM</t>
  </si>
  <si>
    <t>GIL-PA025800T3SUN</t>
  </si>
  <si>
    <t>EXXON GSM</t>
  </si>
  <si>
    <t>GIL-PA025800T1EMV</t>
  </si>
  <si>
    <t>GSM  / MOBIL</t>
  </si>
  <si>
    <t>GIL-PA0258000EMV1</t>
  </si>
  <si>
    <t>SHELL GSM</t>
  </si>
  <si>
    <t>GIL-PA02580000SHL</t>
  </si>
  <si>
    <t>WAWA GSM</t>
  </si>
  <si>
    <t>GIL-PA025800001WAW</t>
  </si>
  <si>
    <t>CASH DRAWER BLACK</t>
  </si>
  <si>
    <t>GIL-PA01570075</t>
  </si>
  <si>
    <t>C+ METER PLUG</t>
  </si>
  <si>
    <t>GIL-N23904-01</t>
  </si>
  <si>
    <t>Adv Coil Assy 2-Stem</t>
  </si>
  <si>
    <t>GIL-N23785-01</t>
  </si>
  <si>
    <t>CRIND CARD GASKET</t>
  </si>
  <si>
    <t>GIL-N23505</t>
  </si>
  <si>
    <t>ADV BLENDER COIL</t>
  </si>
  <si>
    <t>GIL-N23312-02</t>
  </si>
  <si>
    <t>Advantage Coil</t>
  </si>
  <si>
    <t>GIL-N23232-02</t>
  </si>
  <si>
    <t>PPU DISPLAY MASK</t>
  </si>
  <si>
    <t>GIL-N23179-01</t>
  </si>
  <si>
    <t>Filler Plates</t>
  </si>
  <si>
    <t>GIL-N23143</t>
  </si>
  <si>
    <t>Display Wind. Gasket</t>
  </si>
  <si>
    <t>GIL-N23142-01</t>
  </si>
  <si>
    <t>Main Display Window</t>
  </si>
  <si>
    <t>GIL-N23121-03</t>
  </si>
  <si>
    <t>PILOT VALVE 2 STAGE</t>
  </si>
  <si>
    <t>GIL-N23059</t>
  </si>
  <si>
    <t>CRIND DISPLAY WINDOW</t>
  </si>
  <si>
    <t>GIL-N22945-02</t>
  </si>
  <si>
    <t>Crind Display Window</t>
  </si>
  <si>
    <t>GIL-N22945-01</t>
  </si>
  <si>
    <t>TOTALIZER WITH BRACKET</t>
  </si>
  <si>
    <t>GIL-N21885-03</t>
  </si>
  <si>
    <t>Hydraulic Tree/Short</t>
  </si>
  <si>
    <t>GIL-N20834</t>
  </si>
  <si>
    <t>GIL-N20822</t>
  </si>
  <si>
    <t>HOSE RETRACTOR CABLE</t>
  </si>
  <si>
    <t>GIL-N20545-03</t>
  </si>
  <si>
    <t>PILOT VALVE ASSY</t>
  </si>
  <si>
    <t>GIL-N20475-12</t>
  </si>
  <si>
    <t>HILINE PILOT VALVE COIL</t>
  </si>
  <si>
    <t>GIL-N20429-01</t>
  </si>
  <si>
    <t>.862X.103X.103 VITON A O-RING</t>
  </si>
  <si>
    <t>GIL-N16891-32</t>
  </si>
  <si>
    <t>Top Meter Seal</t>
  </si>
  <si>
    <t>GIL-N16891-24</t>
  </si>
  <si>
    <t>Node, Crind Cntrl</t>
  </si>
  <si>
    <t>GIL-MOOO89A002</t>
  </si>
  <si>
    <t>E-500 PUMP CONTROL NODE</t>
  </si>
  <si>
    <t>GIL-MOOO56A001</t>
  </si>
  <si>
    <t>E-500 DOWNLOAD CABLE</t>
  </si>
  <si>
    <t>GIL-MOO719A001</t>
  </si>
  <si>
    <t>Coil, Digital Valve</t>
  </si>
  <si>
    <t>GIL-MOO454A002</t>
  </si>
  <si>
    <t>E-300 Crind Printer</t>
  </si>
  <si>
    <t>GIL-MOO317A003</t>
  </si>
  <si>
    <t>E-500 Crind Printer</t>
  </si>
  <si>
    <t>GIL-MOO317A001</t>
  </si>
  <si>
    <t>E-500 Digital Valve</t>
  </si>
  <si>
    <t>GIL-MOO246A001</t>
  </si>
  <si>
    <t>Customer Input Keypad</t>
  </si>
  <si>
    <t>GIL-MOO141B004</t>
  </si>
  <si>
    <t>GIL-MOO141B002</t>
  </si>
  <si>
    <t>ENC LOWER SKI BOOT LATCH KIT</t>
  </si>
  <si>
    <t>GIL-MO6756K001</t>
  </si>
  <si>
    <t>E-500 POWER SUPPLY BOARD</t>
  </si>
  <si>
    <t>GIL-MO2774A001</t>
  </si>
  <si>
    <t>PPU Display w/Switch</t>
  </si>
  <si>
    <t>GIL-MO2652A003</t>
  </si>
  <si>
    <t>E-300 CARD READER KIT</t>
  </si>
  <si>
    <t>GIL-MO2136K001</t>
  </si>
  <si>
    <t>E-300 CARD READER</t>
  </si>
  <si>
    <t>GIL-MO2136B001</t>
  </si>
  <si>
    <t>EN 500 VALVE CONVERTER</t>
  </si>
  <si>
    <t>GIL-MO2044A003</t>
  </si>
  <si>
    <t>E-500 CONVERTER BRD</t>
  </si>
  <si>
    <t>GIL-MO2044A001</t>
  </si>
  <si>
    <t>E-500 PUMP NODE</t>
  </si>
  <si>
    <t>GIL-MO1922A001</t>
  </si>
  <si>
    <t>E-500 PCA Door Node</t>
  </si>
  <si>
    <t>GIL-MO1785A001</t>
  </si>
  <si>
    <t>E-500 CRIND NODE</t>
  </si>
  <si>
    <t>GIL-MO1753A001</t>
  </si>
  <si>
    <t>INTERFACE CABLE</t>
  </si>
  <si>
    <t>GIL-MO1668A002</t>
  </si>
  <si>
    <t>TOTALIZER BOARD</t>
  </si>
  <si>
    <t>GIL-MO1621A001</t>
  </si>
  <si>
    <t>Pump Controller Board</t>
  </si>
  <si>
    <t>GIL-MO1598A001-R</t>
  </si>
  <si>
    <t>PPU DATA CABLE</t>
  </si>
  <si>
    <t>GIL-MO1585A-001</t>
  </si>
  <si>
    <t>Valve Driver Board</t>
  </si>
  <si>
    <t>GIL-MO1549A001</t>
  </si>
  <si>
    <t>E-300 HYDRAULIC INTERFACE</t>
  </si>
  <si>
    <t>GIL-MO1546A001R</t>
  </si>
  <si>
    <t>E300 Main Display Board</t>
  </si>
  <si>
    <t>GIL-MO1515A001</t>
  </si>
  <si>
    <t>E-700 FLEXPAY M7</t>
  </si>
  <si>
    <t>GIL-M16181A002</t>
  </si>
  <si>
    <t>DCM 2.2 W BARCKET</t>
  </si>
  <si>
    <t>GIL-M15737A001</t>
  </si>
  <si>
    <t>FLEXPAY</t>
  </si>
  <si>
    <t>GIL-M15315K007</t>
  </si>
  <si>
    <t>CABLE</t>
  </si>
  <si>
    <t>GIL-M15241A002</t>
  </si>
  <si>
    <t>PIN PAD STAND</t>
  </si>
  <si>
    <t>GIL-M15212A001</t>
  </si>
  <si>
    <t>PCA FIELD WIRING BOARD</t>
  </si>
  <si>
    <t>GIL-M14881A002</t>
  </si>
  <si>
    <t>COMBINED PULSER KIT</t>
  </si>
  <si>
    <t>GIL-M14794K001</t>
  </si>
  <si>
    <t>E700 DISPLAY</t>
  </si>
  <si>
    <t>GIL-M14620K001</t>
  </si>
  <si>
    <t>VERIFONE MX915 BRACKET ASSY</t>
  </si>
  <si>
    <t>GIL-M14572A003</t>
  </si>
  <si>
    <t>ECIM DOOR WITH MONO</t>
  </si>
  <si>
    <t>GIL-M14543A601015</t>
  </si>
  <si>
    <t>GIL-M14425A002</t>
  </si>
  <si>
    <t>CABLE ASSY UPM</t>
  </si>
  <si>
    <t>GIL-M14346A001</t>
  </si>
  <si>
    <t>PIP 3 CABLE</t>
  </si>
  <si>
    <t>GIL-M14339A001</t>
  </si>
  <si>
    <t>AUDIO VIDEO CABLE</t>
  </si>
  <si>
    <t>GIL-M14338A006</t>
  </si>
  <si>
    <t>VERIFONE CARD READER</t>
  </si>
  <si>
    <t>GIL-M14330A001</t>
  </si>
  <si>
    <t>GSOM BOARD</t>
  </si>
  <si>
    <t>GIL-M14059A001</t>
  </si>
  <si>
    <t>MAG CARD SWIPE</t>
  </si>
  <si>
    <t>GIL-M14033B101</t>
  </si>
  <si>
    <t>10.4 DISPLAY</t>
  </si>
  <si>
    <t>GIL-M14004A001</t>
  </si>
  <si>
    <t>PIP3 DISPLAY</t>
  </si>
  <si>
    <t>GIL-M13987A002</t>
  </si>
  <si>
    <t>UPM PROGRAMMED NO KEY</t>
  </si>
  <si>
    <t>GIL-M13888K901</t>
  </si>
  <si>
    <t>HENJ PRINTER PIN 10 PK</t>
  </si>
  <si>
    <t>GIL-M13832K005</t>
  </si>
  <si>
    <t>DATA TO DISPLAY CABLE</t>
  </si>
  <si>
    <t>GIL-M13722A002</t>
  </si>
  <si>
    <t>COLOR DISPLAY</t>
  </si>
  <si>
    <t>GIL-M13416A004</t>
  </si>
  <si>
    <t>PPU GRADE 3 LEVEL</t>
  </si>
  <si>
    <t>GIL-M13339K001</t>
  </si>
  <si>
    <t>CC CLEANING HOOK</t>
  </si>
  <si>
    <t>GIL-M13275B001</t>
  </si>
  <si>
    <t>24 VOLT DIST CABLE EN 700</t>
  </si>
  <si>
    <t>GIL-M13120A001</t>
  </si>
  <si>
    <t>10.4" DISPLAY CABLE</t>
  </si>
  <si>
    <t>GIL-M13119A003</t>
  </si>
  <si>
    <t>DC POWER SPP EN 700 EMV CABLE</t>
  </si>
  <si>
    <t>GIL-M13117A002</t>
  </si>
  <si>
    <t>PPU 3 GRADE</t>
  </si>
  <si>
    <t>GIL-M12982A001</t>
  </si>
  <si>
    <t>E-500 PPU BOARD</t>
  </si>
  <si>
    <t>GIL-M12893K002</t>
  </si>
  <si>
    <t>SINGLE PPU DISPLAY W GASK</t>
  </si>
  <si>
    <t>GIL-M12893K001</t>
  </si>
  <si>
    <t>DOOR NODE 5 SIX DIGIT</t>
  </si>
  <si>
    <t>GIL-M12803A009</t>
  </si>
  <si>
    <t>DOOR NODE</t>
  </si>
  <si>
    <t>GIL-M12803A003</t>
  </si>
  <si>
    <t>ADV BRACKET</t>
  </si>
  <si>
    <t>GIL-M12784B001</t>
  </si>
  <si>
    <t>CABLE WITH POWER CORD</t>
  </si>
  <si>
    <t>GIL-M12754B004</t>
  </si>
  <si>
    <t>EN PUMP CONTROL NODE 3+</t>
  </si>
  <si>
    <t>GIL-M12702A102</t>
  </si>
  <si>
    <t>PUMP CONTROL NODE 3</t>
  </si>
  <si>
    <t>GIL-M12702A002</t>
  </si>
  <si>
    <t>PUMP CONTROL NODE 2</t>
  </si>
  <si>
    <t>GIL-M12702A001</t>
  </si>
  <si>
    <t>ENCRYPTED CARD READER KIT</t>
  </si>
  <si>
    <t>GIL-M12547K001</t>
  </si>
  <si>
    <t>ENC 700 PULSER</t>
  </si>
  <si>
    <t>GIL-M12514K001</t>
  </si>
  <si>
    <t>ENCORE BRACKET</t>
  </si>
  <si>
    <t>GIL-M12507B001</t>
  </si>
  <si>
    <t>ENC 700 CARD READER</t>
  </si>
  <si>
    <t>GIL-M12492B003</t>
  </si>
  <si>
    <t>EN 500S ADA KEYPAD</t>
  </si>
  <si>
    <t>GIL-M12287B001</t>
  </si>
  <si>
    <t>SECURITY PIN</t>
  </si>
  <si>
    <t>GIL-M12234K001</t>
  </si>
  <si>
    <t>FLEX PAY CONTROL BRD</t>
  </si>
  <si>
    <t>GIL-M11930K001</t>
  </si>
  <si>
    <t>METER TUBE DISCH 13</t>
  </si>
  <si>
    <t>GIL-M11919B002</t>
  </si>
  <si>
    <t>METER TUBE DISCH 23</t>
  </si>
  <si>
    <t>GIL-M11918B002</t>
  </si>
  <si>
    <t>METER TUBE DISCH 22</t>
  </si>
  <si>
    <t>GIL-M11917B002</t>
  </si>
  <si>
    <t>METER TUBE DISCH 21</t>
  </si>
  <si>
    <t>GIL-M11916B002</t>
  </si>
  <si>
    <t>METER TUBE DISCH 12</t>
  </si>
  <si>
    <t>GIL-M11915B002</t>
  </si>
  <si>
    <t>METER TUBE DISCH11</t>
  </si>
  <si>
    <t>GIL-M11914B002</t>
  </si>
  <si>
    <t>EDH TANK GAUGE</t>
  </si>
  <si>
    <t>GIL-M11247B046</t>
  </si>
  <si>
    <t>ULTRA HIGH 500S SEC KIT</t>
  </si>
  <si>
    <t>GIL-M11116K003</t>
  </si>
  <si>
    <t>24VDC POWER SUPPLY</t>
  </si>
  <si>
    <t>GIL-M10996A001</t>
  </si>
  <si>
    <t>HENG PRINTER FOR EN 300</t>
  </si>
  <si>
    <t>GIL-M10755A001</t>
  </si>
  <si>
    <t>SECURE CARD READER WAWA</t>
  </si>
  <si>
    <t>GIL-M10728K002</t>
  </si>
  <si>
    <t>SMART PAD 2.1</t>
  </si>
  <si>
    <t>GIL-M10662K001</t>
  </si>
  <si>
    <t>ENCRY PIN PAD 700</t>
  </si>
  <si>
    <t>GIL-M10661K001</t>
  </si>
  <si>
    <t>CABLE ADAPTOR FOR 10.4 DISPLAY</t>
  </si>
  <si>
    <t>GIL-M10270B001</t>
  </si>
  <si>
    <t>SOFTKEY KEYPAD</t>
  </si>
  <si>
    <t>GIL-M10206B002</t>
  </si>
  <si>
    <t>RIGHT SOFTKEY KEYPAD</t>
  </si>
  <si>
    <t>GIL-M10206B001</t>
  </si>
  <si>
    <t>32K I BUTTON 1-WIRE</t>
  </si>
  <si>
    <t>GIL-M0974B012</t>
  </si>
  <si>
    <t>I-BUTTON ADAPTOR</t>
  </si>
  <si>
    <t>GIL-M09747B013</t>
  </si>
  <si>
    <t>I-BUTTON USB</t>
  </si>
  <si>
    <t>GIL-M09747B012</t>
  </si>
  <si>
    <t>CABLE ASSEMBLY</t>
  </si>
  <si>
    <t>GIL-M09747B010</t>
  </si>
  <si>
    <t>POWER SUPPLY W/O CORD</t>
  </si>
  <si>
    <t>GIL-M09747B008</t>
  </si>
  <si>
    <t>FAN</t>
  </si>
  <si>
    <t>GIL-M09747B007</t>
  </si>
  <si>
    <t>HARD DRIVE 25 SATA</t>
  </si>
  <si>
    <t>GIL-M09747B006C</t>
  </si>
  <si>
    <t>RAM</t>
  </si>
  <si>
    <t>GIL-M09747B005</t>
  </si>
  <si>
    <t>CEIERON PROCESSOR</t>
  </si>
  <si>
    <t>GIL-M09747B004</t>
  </si>
  <si>
    <t>COMPACT FLASH BOARD</t>
  </si>
  <si>
    <t>GIL-M09747B003</t>
  </si>
  <si>
    <t>I/O STRIP BOARD</t>
  </si>
  <si>
    <t>GIL-M09747B002B</t>
  </si>
  <si>
    <t>MOTHERBOARD</t>
  </si>
  <si>
    <t>GIL-M09747B001R</t>
  </si>
  <si>
    <t>PX 60 HARD DRIVE</t>
  </si>
  <si>
    <t>GIL-M09474B006C</t>
  </si>
  <si>
    <t>ECO METER M14370K001</t>
  </si>
  <si>
    <t>GIL-M09285K001</t>
  </si>
  <si>
    <t>EPSON PRINTER CABLE 7' PSPT</t>
  </si>
  <si>
    <t>GIL-M09219B033</t>
  </si>
  <si>
    <t>POWER SUPPLY 19V 180W</t>
  </si>
  <si>
    <t>GIL-M09219B008</t>
  </si>
  <si>
    <t>ENC PULSER KIT</t>
  </si>
  <si>
    <t>GIL-M09169K001</t>
  </si>
  <si>
    <t>ULTRA HIGH SEC PULSER KIT</t>
  </si>
  <si>
    <t>GIL-M09094K001</t>
  </si>
  <si>
    <t>STAND ALONE CABLE</t>
  </si>
  <si>
    <t>GIL-M08743A002</t>
  </si>
  <si>
    <t>DOWNLOAD CABLE</t>
  </si>
  <si>
    <t>GIL-M08743A001</t>
  </si>
  <si>
    <t>KEYPAD MONO SCREEN</t>
  </si>
  <si>
    <t>GIL-M08481B001</t>
  </si>
  <si>
    <t>14 HOLE MONO LENS</t>
  </si>
  <si>
    <t>GIL-M08447-MONOPLEXI</t>
  </si>
  <si>
    <t>EPP AUXILLARY KEYPAD</t>
  </si>
  <si>
    <t>GIL-M08418B001</t>
  </si>
  <si>
    <t>EPP DATA CABLE</t>
  </si>
  <si>
    <t>GIL-M08414A002</t>
  </si>
  <si>
    <t>E300/500 EPP KEYPAD</t>
  </si>
  <si>
    <t>GIL-M08412B-001</t>
  </si>
  <si>
    <t>EPP AUX KEYPAD DATA CABLE</t>
  </si>
  <si>
    <t>GIL-M08409A001</t>
  </si>
  <si>
    <t>EPP KEYPAD KIT</t>
  </si>
  <si>
    <t>GIL-M08399K001</t>
  </si>
  <si>
    <t>NEW SOFTWARE</t>
  </si>
  <si>
    <t>GIL-M08347K003</t>
  </si>
  <si>
    <t>EPP PIN PAD</t>
  </si>
  <si>
    <t>GIL-M08228K003</t>
  </si>
  <si>
    <t>E-CIM MONO DISP</t>
  </si>
  <si>
    <t>GIL-M08054A901002</t>
  </si>
  <si>
    <t>CENTRAL PROCESSOR BOARD</t>
  </si>
  <si>
    <t>GIL-M08037B010</t>
  </si>
  <si>
    <t>CABLE PAM 5000</t>
  </si>
  <si>
    <t>GIL-M08037B007</t>
  </si>
  <si>
    <t>CRIND EXPANSION KIT</t>
  </si>
  <si>
    <t>GIL-M08037B002</t>
  </si>
  <si>
    <t>PUMP LOOP MODULE</t>
  </si>
  <si>
    <t>GIL-M08037B001</t>
  </si>
  <si>
    <t>WAWA SILVER PRINTER DOOR</t>
  </si>
  <si>
    <t>GIL-M07991A003015</t>
  </si>
  <si>
    <t>PRINTER DOOR EN-5</t>
  </si>
  <si>
    <t>GIL-M07991A003</t>
  </si>
  <si>
    <t>GIL-M07953A003</t>
  </si>
  <si>
    <t>PCA HUB BOARD</t>
  </si>
  <si>
    <t>GIL-M07895A001</t>
  </si>
  <si>
    <t>GIL-M07813K210</t>
  </si>
  <si>
    <t>GIL-M07813K208</t>
  </si>
  <si>
    <t>ASSY PPU LENS &amp; PANEL</t>
  </si>
  <si>
    <t>GIL-M07757A001</t>
  </si>
  <si>
    <t>PULSER SEC KIT</t>
  </si>
  <si>
    <t>GIL-M07744K007</t>
  </si>
  <si>
    <t>EPP CABLE</t>
  </si>
  <si>
    <t>GIL-M07702A017</t>
  </si>
  <si>
    <t>2 WIRE CABLE ENC 700</t>
  </si>
  <si>
    <t>GIL-M07702A016</t>
  </si>
  <si>
    <t>EPP WIRE HARNESS</t>
  </si>
  <si>
    <t>GIL-M07702A010</t>
  </si>
  <si>
    <t>EPP INTERFACE CABLE</t>
  </si>
  <si>
    <t>GIL-M07702009</t>
  </si>
  <si>
    <t>MAIN DISPLAY LENS</t>
  </si>
  <si>
    <t>GIL-M07697B001</t>
  </si>
  <si>
    <t>SUNOCO KEYPAD</t>
  </si>
  <si>
    <t>GIL-M07689B002</t>
  </si>
  <si>
    <t>PPU LENS</t>
  </si>
  <si>
    <t>GIL-M07656B001</t>
  </si>
  <si>
    <t>ICE POWER SUPPLY CABLE</t>
  </si>
  <si>
    <t>GIL-M07648A004</t>
  </si>
  <si>
    <t>ICE POWER SUPPLY</t>
  </si>
  <si>
    <t>GIL-M07648A003</t>
  </si>
  <si>
    <t>POWER SUPPLY ASSY</t>
  </si>
  <si>
    <t>GIL-M07555A004</t>
  </si>
  <si>
    <t>GIL-M07555A003</t>
  </si>
  <si>
    <t>FUSE BLOCK</t>
  </si>
  <si>
    <t>GIL-M07362A002</t>
  </si>
  <si>
    <t>ULTRA HI CONVERSION VALVE KIT</t>
  </si>
  <si>
    <t>GIL-M07220K001</t>
  </si>
  <si>
    <t>AUXILARY BOARD</t>
  </si>
  <si>
    <t>GIL-M07121A004</t>
  </si>
  <si>
    <t>CRIND KEYPAD KIT</t>
  </si>
  <si>
    <t>GIL-M06975K002</t>
  </si>
  <si>
    <t>USB CABLE FOR HEJSTLER</t>
  </si>
  <si>
    <t>GIL-M06745A001</t>
  </si>
  <si>
    <t>METER MANIFOLD STRAINER</t>
  </si>
  <si>
    <t>GIL-M06507B001</t>
  </si>
  <si>
    <t>LATCH ASSY</t>
  </si>
  <si>
    <t>GIL-M06295A001</t>
  </si>
  <si>
    <t>ADV PULSER SEC KIT</t>
  </si>
  <si>
    <t>GIL-M06294K005</t>
  </si>
  <si>
    <t>ENCORE ELECTRONIC DOOR</t>
  </si>
  <si>
    <t>GIL-M06247A102002</t>
  </si>
  <si>
    <t>PUMP FEEDLINE ASSEMBLY</t>
  </si>
  <si>
    <t>GIL-M06218A001</t>
  </si>
  <si>
    <t>PPU 5 GRADE KIT</t>
  </si>
  <si>
    <t>GIL-M06194K002</t>
  </si>
  <si>
    <t>PPU 3 GRADE KIT</t>
  </si>
  <si>
    <t>GIL-M06194K001</t>
  </si>
  <si>
    <t>PPU DISPLAY 5 GRADE</t>
  </si>
  <si>
    <t>GIL-M06194A002</t>
  </si>
  <si>
    <t>PPU 3 GRADE SINGLE 500S</t>
  </si>
  <si>
    <t>GIL-M06194A001</t>
  </si>
  <si>
    <t>E-500 PUSH TO START</t>
  </si>
  <si>
    <t>GIL-M06139A001</t>
  </si>
  <si>
    <t>CARD CABLE</t>
  </si>
  <si>
    <t>GIL-M06115A002</t>
  </si>
  <si>
    <t>PRINTER DOOR</t>
  </si>
  <si>
    <t>GIL-M06071A002002</t>
  </si>
  <si>
    <t>SOFTSHELL KEYPAD</t>
  </si>
  <si>
    <t>GIL-M06069B001</t>
  </si>
  <si>
    <t>GIL-M05985K001</t>
  </si>
  <si>
    <t>ENCORE ENHANCED BOOT ASSY</t>
  </si>
  <si>
    <t>GIL-M05912A001N</t>
  </si>
  <si>
    <t>GIL-M05912A001</t>
  </si>
  <si>
    <t>S.S. OUTER SHEATHING</t>
  </si>
  <si>
    <t>GIL-M0588B-002</t>
  </si>
  <si>
    <t>EN 500 PULSER</t>
  </si>
  <si>
    <t>GIL-M05840B002</t>
  </si>
  <si>
    <t>E-300 COMBINED PULSER</t>
  </si>
  <si>
    <t>GIL-M05839B002</t>
  </si>
  <si>
    <t>4 GRADE PPU W/O PANEL</t>
  </si>
  <si>
    <t>GIL-M05838A005</t>
  </si>
  <si>
    <t>5 GRADE PPU W/O PANE;</t>
  </si>
  <si>
    <t>GIL-M05838A002</t>
  </si>
  <si>
    <t>DOOR NODE 4</t>
  </si>
  <si>
    <t>GIL-M05835A001</t>
  </si>
  <si>
    <t>MODULE TOP COVER END</t>
  </si>
  <si>
    <t>GIL-M05717B001P8A</t>
  </si>
  <si>
    <t>OUTLET CASTING</t>
  </si>
  <si>
    <t>GIL-M05612K010</t>
  </si>
  <si>
    <t>ENCORE HOSE OUTLET CASTING</t>
  </si>
  <si>
    <t>GIL-M05612B110</t>
  </si>
  <si>
    <t>ENCORE V/V CASTING</t>
  </si>
  <si>
    <t>GIL-M05583B010</t>
  </si>
  <si>
    <t>SS SIDE SHEATHING</t>
  </si>
  <si>
    <t>GIL-M05415B002</t>
  </si>
  <si>
    <t>SENSOR CABLE</t>
  </si>
  <si>
    <t>GIL-M051650A001</t>
  </si>
  <si>
    <t>PUMPING UNIT</t>
  </si>
  <si>
    <t>GIL-M04920B003</t>
  </si>
  <si>
    <t>LOWER SIDE FRAME BRACK</t>
  </si>
  <si>
    <t>GIL-M04868B001</t>
  </si>
  <si>
    <t>3" THERMAL PAPER ROLL CRIND</t>
  </si>
  <si>
    <t>GIL-M04809B015</t>
  </si>
  <si>
    <t>GIL-M04687A002</t>
  </si>
  <si>
    <t>EN 500 PPU WITH SWITCH</t>
  </si>
  <si>
    <t>GIL-M04588A001</t>
  </si>
  <si>
    <t>CONVERSION SOFTWARE</t>
  </si>
  <si>
    <t>GIL-M04532K005</t>
  </si>
  <si>
    <t>PCA CALL INTERFACE</t>
  </si>
  <si>
    <t>GIL-M04528A001</t>
  </si>
  <si>
    <t>BACKLIGHT ASSY</t>
  </si>
  <si>
    <t>GIL-M04466B010</t>
  </si>
  <si>
    <t>POWER SUPPLY RESISTORS</t>
  </si>
  <si>
    <t>GIL-M04388A001</t>
  </si>
  <si>
    <t>DOOR NODE 3</t>
  </si>
  <si>
    <t>GIL-M04326A001</t>
  </si>
  <si>
    <t>USB THERMAL PRINTER REBUILT</t>
  </si>
  <si>
    <t>GIL-M04219B001R</t>
  </si>
  <si>
    <t>PIN FOR HENGSTLER PRINTER</t>
  </si>
  <si>
    <t>GIL-M04219B001N</t>
  </si>
  <si>
    <t>FUSE MODULE</t>
  </si>
  <si>
    <t>GIL-M04163B001</t>
  </si>
  <si>
    <t>HENGSTLER 500 PRINTER</t>
  </si>
  <si>
    <t>GIL-M04119A001</t>
  </si>
  <si>
    <t>CRIND NODE 3</t>
  </si>
  <si>
    <t>GIL-M04108A001</t>
  </si>
  <si>
    <t>POWER CONTROL MODULE</t>
  </si>
  <si>
    <t>GIL-M04104A001</t>
  </si>
  <si>
    <t>300 PULSER</t>
  </si>
  <si>
    <t>GIL-M04011B001</t>
  </si>
  <si>
    <t>SMART CONNECT PRGM PCA</t>
  </si>
  <si>
    <t>GIL-M03893A001</t>
  </si>
  <si>
    <t>USB CABLE</t>
  </si>
  <si>
    <t>GIL-M03695B007</t>
  </si>
  <si>
    <t>CRIND LOGIC BOARD</t>
  </si>
  <si>
    <t>GIL-M03651A002UR</t>
  </si>
  <si>
    <t>GIL-M03651A-001</t>
  </si>
  <si>
    <t>GRADE SELECT BUTTON ASSY</t>
  </si>
  <si>
    <t>GIL-M03533A001</t>
  </si>
  <si>
    <t>MACHINED MANIFOLD</t>
  </si>
  <si>
    <t>GIL-M03404B010</t>
  </si>
  <si>
    <t>GIL-M03377A101</t>
  </si>
  <si>
    <t>DRIVE BLADE &amp; HOLDER</t>
  </si>
  <si>
    <t>GIL-M03171K001</t>
  </si>
  <si>
    <t>E-500 COIL CONDUIT ASSY</t>
  </si>
  <si>
    <t>GIL-M02958A001</t>
  </si>
  <si>
    <t>HDD KIT</t>
  </si>
  <si>
    <t>GIL-M02870K006</t>
  </si>
  <si>
    <t>1GB RAM MEMORY STICK</t>
  </si>
  <si>
    <t>GIL-M02870G028</t>
  </si>
  <si>
    <t>HARD DRIVE PASSPORT</t>
  </si>
  <si>
    <t>GIL-M02870B039</t>
  </si>
  <si>
    <t>RAM 184 PIN PX52</t>
  </si>
  <si>
    <t>GIL-M02870B026S</t>
  </si>
  <si>
    <t>OUTRIGHT PP MOTHER BOARD</t>
  </si>
  <si>
    <t>GIL-M02870B023S</t>
  </si>
  <si>
    <t>REBUILT PP MOTHER BOARD</t>
  </si>
  <si>
    <t>GIL-M02870B023R</t>
  </si>
  <si>
    <t>FAN CHASIS</t>
  </si>
  <si>
    <t>GIL-M02870B010S</t>
  </si>
  <si>
    <t>PASS PORT POWER SUPPLY</t>
  </si>
  <si>
    <t>GIL-M02870B008S</t>
  </si>
  <si>
    <t>MODEM 56K PCI CARD</t>
  </si>
  <si>
    <t>GIL-M02870B005BS</t>
  </si>
  <si>
    <t>MONOCHROME LENS</t>
  </si>
  <si>
    <t>GIL-M02650B001N</t>
  </si>
  <si>
    <t>MONOCHROME DISPLAY</t>
  </si>
  <si>
    <t>GIL-M02636A001</t>
  </si>
  <si>
    <t>HYDROLIC INTERFACE BRD</t>
  </si>
  <si>
    <t>GIL-M02335A001</t>
  </si>
  <si>
    <t>PROPORTIONAL VALVE</t>
  </si>
  <si>
    <t>GIL-M02227A001</t>
  </si>
  <si>
    <t>ENC MANIFOLD CASTING</t>
  </si>
  <si>
    <t>GIL-M02226B010</t>
  </si>
  <si>
    <t>PUMP NODE</t>
  </si>
  <si>
    <t>GIL-M01922A006</t>
  </si>
  <si>
    <t>GIL-M01922A001</t>
  </si>
  <si>
    <t>EDGEBPORT</t>
  </si>
  <si>
    <t>GIL-M01700B103S</t>
  </si>
  <si>
    <t>PRINTER TO REG BRD</t>
  </si>
  <si>
    <t>GIL-M01668A001</t>
  </si>
  <si>
    <t>ENCORE VALUE CABLE</t>
  </si>
  <si>
    <t>GIL-M01667A001</t>
  </si>
  <si>
    <t>GRADE SELECT BOARD</t>
  </si>
  <si>
    <t>GIL-M01564A001</t>
  </si>
  <si>
    <t>EN 300 PPU DISPLAY</t>
  </si>
  <si>
    <t>GIL-M01522A001</t>
  </si>
  <si>
    <t>DOOR NODE 5</t>
  </si>
  <si>
    <t>GIL-M012803A002</t>
  </si>
  <si>
    <t>SOFT KEYPAD</t>
  </si>
  <si>
    <t>GIL-M01254B003</t>
  </si>
  <si>
    <t>NO CIM REFRIG DOOR</t>
  </si>
  <si>
    <t>GIL-M01210A002</t>
  </si>
  <si>
    <t>SPRING RETAINER PULSER SHAFT</t>
  </si>
  <si>
    <t>GIL-M01207B001</t>
  </si>
  <si>
    <t>1/4-10 X1/2 ZINC SCREW</t>
  </si>
  <si>
    <t>GIL-M01118B001</t>
  </si>
  <si>
    <t>COSTCO KEYPAD</t>
  </si>
  <si>
    <t>GIL-M01109B003</t>
  </si>
  <si>
    <t>E-300 NOZZLE BOOT</t>
  </si>
  <si>
    <t>GIL-M01047A005</t>
  </si>
  <si>
    <t>GIL-M00903B001</t>
  </si>
  <si>
    <t>ENCORE LOWER DOOR</t>
  </si>
  <si>
    <t>GIL-M00848B001PB1-GK</t>
  </si>
  <si>
    <t>CONDUIT CABLE ASSY</t>
  </si>
  <si>
    <t>GIL-M00845A003</t>
  </si>
  <si>
    <t>CUSTOMER KEYPAD CABLE</t>
  </si>
  <si>
    <t>GIL-M00715A004</t>
  </si>
  <si>
    <t>EXXON KEYPAD RIGHT</t>
  </si>
  <si>
    <t>GIL-M00641B002</t>
  </si>
  <si>
    <t>EXXON KEYPAD LF</t>
  </si>
  <si>
    <t>GIL-M00641B001</t>
  </si>
  <si>
    <t>GIL-M00614A004</t>
  </si>
  <si>
    <t>ANGLE CASTING HOLE PLUG</t>
  </si>
  <si>
    <t>GIL-M00592B001</t>
  </si>
  <si>
    <t>UPPER HOUSING</t>
  </si>
  <si>
    <t>GIL-M00589B001</t>
  </si>
  <si>
    <t>EN 300 STAINLESS STEEL</t>
  </si>
  <si>
    <t>GIL-M00588B002</t>
  </si>
  <si>
    <t>INNER COLUMN SHEATHING</t>
  </si>
  <si>
    <t>GIL-M00586B002</t>
  </si>
  <si>
    <t>UPPER HYD COVER</t>
  </si>
  <si>
    <t>GIL-M00578A001</t>
  </si>
  <si>
    <t>CARDREADER CABLE</t>
  </si>
  <si>
    <t>GIL-M00501A001</t>
  </si>
  <si>
    <t>CABLE LON BUS</t>
  </si>
  <si>
    <t>GIL-M00489A007</t>
  </si>
  <si>
    <t>DISPENSER TOP METAL</t>
  </si>
  <si>
    <t>GIL-M00467B001</t>
  </si>
  <si>
    <t>METRIC M3X8 SCREW</t>
  </si>
  <si>
    <t>GIL-M00419B311</t>
  </si>
  <si>
    <t>MAIN DISPLAY WINDOW</t>
  </si>
  <si>
    <t>GIL-M00371B003</t>
  </si>
  <si>
    <t>ENCORE PPU LENS</t>
  </si>
  <si>
    <t>GIL-M00347A001</t>
  </si>
  <si>
    <t>CALIBRATION CABLE</t>
  </si>
  <si>
    <t>GIL-M00150A001</t>
  </si>
  <si>
    <t>E-500 MANAGER KEYPAD</t>
  </si>
  <si>
    <t>GIL-M00147A001</t>
  </si>
  <si>
    <t>E-500 PPU ASSY</t>
  </si>
  <si>
    <t>GIL-M000651A001</t>
  </si>
  <si>
    <t>Lead Seal LS-12</t>
  </si>
  <si>
    <t>GIL-LS-12</t>
  </si>
  <si>
    <t>EDH HARD DRIVE</t>
  </si>
  <si>
    <t>GIL-KS702B0022D</t>
  </si>
  <si>
    <t>Monochrome Display</t>
  </si>
  <si>
    <t>GIL-K96663-02</t>
  </si>
  <si>
    <t>MONO MOUNTING KIT</t>
  </si>
  <si>
    <t>GIL-K96663-01</t>
  </si>
  <si>
    <t>METER GASKET KIT ENCORE</t>
  </si>
  <si>
    <t>GIL-K96618</t>
  </si>
  <si>
    <t>MEMBRANE SWITCH MONOCHROME</t>
  </si>
  <si>
    <t>GIL-K94396-02</t>
  </si>
  <si>
    <t>FLOW RESTRICTOR</t>
  </si>
  <si>
    <t>GIL-K94328</t>
  </si>
  <si>
    <t>Meter Check Valve</t>
  </si>
  <si>
    <t>GIL-K94254-01</t>
  </si>
  <si>
    <t>Monochrome Software</t>
  </si>
  <si>
    <t>GIL-K94247-01</t>
  </si>
  <si>
    <t>LOWER DOOR LOCK AND LATCH</t>
  </si>
  <si>
    <t>GIL-K94246-01N</t>
  </si>
  <si>
    <t>AC BACKLIGHT KIT</t>
  </si>
  <si>
    <t>GIL-K94126</t>
  </si>
  <si>
    <t>Multiplex Software</t>
  </si>
  <si>
    <t>GIL-K93896-01</t>
  </si>
  <si>
    <t>GIL-K93744-20</t>
  </si>
  <si>
    <t>E-300 P.C.Software</t>
  </si>
  <si>
    <t>GIL-K93734-701</t>
  </si>
  <si>
    <t>Dispenser Software</t>
  </si>
  <si>
    <t>GIL-K93734-601S</t>
  </si>
  <si>
    <t>Adv Blend Software</t>
  </si>
  <si>
    <t>GIL-K93734-101</t>
  </si>
  <si>
    <t>GIL-K93734-01</t>
  </si>
  <si>
    <t>Hyd Blnd Software</t>
  </si>
  <si>
    <t>GIL-K93733-01</t>
  </si>
  <si>
    <t>Crind Receipt Cutter</t>
  </si>
  <si>
    <t>GIL-K93713-01</t>
  </si>
  <si>
    <t>GIL-K93686-G1</t>
  </si>
  <si>
    <t>MOD PC SOFTWARE VER.54.2.4</t>
  </si>
  <si>
    <t>GIL-K93682-G6</t>
  </si>
  <si>
    <t>Pump Controller Software</t>
  </si>
  <si>
    <t>GIL-K93682-G33</t>
  </si>
  <si>
    <t>PUMP CONTROL SOFTWARE</t>
  </si>
  <si>
    <t>GIL-K93682-G27N</t>
  </si>
  <si>
    <t>Pump Cntrlr Sftware</t>
  </si>
  <si>
    <t>GIL-K93682-G2</t>
  </si>
  <si>
    <t>Adv Contrlr Sftware</t>
  </si>
  <si>
    <t>GIL-K93682-G13</t>
  </si>
  <si>
    <t>Adv P.C. Software</t>
  </si>
  <si>
    <t>GIL-K93682-G1</t>
  </si>
  <si>
    <t>P A M Software</t>
  </si>
  <si>
    <t>GIL-K93674-01S</t>
  </si>
  <si>
    <t>PAM SOFTWARE</t>
  </si>
  <si>
    <t>GIL-K93355-01</t>
  </si>
  <si>
    <t>STAGE II DIAPHRAM</t>
  </si>
  <si>
    <t>GIL-K93006</t>
  </si>
  <si>
    <t>Mod P.C. Software</t>
  </si>
  <si>
    <t>GIL-K92631-G2</t>
  </si>
  <si>
    <t>Hiline Logic Sftware</t>
  </si>
  <si>
    <t>GIL-K92555-01</t>
  </si>
  <si>
    <t>Hiline Handle Switch</t>
  </si>
  <si>
    <t>GIL-K90978</t>
  </si>
  <si>
    <t>Flex. Totalizer Cable</t>
  </si>
  <si>
    <t>GIL-K89799-20</t>
  </si>
  <si>
    <t>S.P. Totalizer Cable</t>
  </si>
  <si>
    <t>GIL-K89799-02</t>
  </si>
  <si>
    <t>GIL-K89799-01</t>
  </si>
  <si>
    <t>H111 Bezel Glass Kit</t>
  </si>
  <si>
    <t>GIL-K89761SP</t>
  </si>
  <si>
    <t>HILINE DISP KEY</t>
  </si>
  <si>
    <t>GIL-K89699-07</t>
  </si>
  <si>
    <t>SEAL ASSY HIII</t>
  </si>
  <si>
    <t>GIL-K88760</t>
  </si>
  <si>
    <t>Solonoid Diaphram</t>
  </si>
  <si>
    <t>GIL-K88750</t>
  </si>
  <si>
    <t>PILOT VALVE SPRING</t>
  </si>
  <si>
    <t>GIL-K88746</t>
  </si>
  <si>
    <t>DIAPHRAM SPRING</t>
  </si>
  <si>
    <t>GIL-K88745</t>
  </si>
  <si>
    <t>PLUNGER HILINE</t>
  </si>
  <si>
    <t>GIL-K88740</t>
  </si>
  <si>
    <t>RETRACTOR CABLE</t>
  </si>
  <si>
    <t>GIL-K87218-02</t>
  </si>
  <si>
    <t>Door Lock Assy</t>
  </si>
  <si>
    <t>GIL-K83512-30</t>
  </si>
  <si>
    <t>GILBARCO LOWER DOOR KEY</t>
  </si>
  <si>
    <t>GIL-K83512-25</t>
  </si>
  <si>
    <t>HIII NUT</t>
  </si>
  <si>
    <t>GIL-K75204</t>
  </si>
  <si>
    <t>B79 7-11 SPEC VALANCE</t>
  </si>
  <si>
    <t>GIL-K35496-202</t>
  </si>
  <si>
    <t>METER GASKET ORING KIT</t>
  </si>
  <si>
    <t>GIL-K35359</t>
  </si>
  <si>
    <t>IS BARRIER CAP</t>
  </si>
  <si>
    <t>GIL-K35297</t>
  </si>
  <si>
    <t>Hiline Handle Spring</t>
  </si>
  <si>
    <t>GIL-K35278</t>
  </si>
  <si>
    <t>METER ORING KIT</t>
  </si>
  <si>
    <t>GIL-K35222</t>
  </si>
  <si>
    <t>Retractor Cable</t>
  </si>
  <si>
    <t>GIL-K34947</t>
  </si>
  <si>
    <t>Retractor Clamp</t>
  </si>
  <si>
    <t>GIL-K34468</t>
  </si>
  <si>
    <t>3/4 PIPE PLUG</t>
  </si>
  <si>
    <t>GIL-K02309C07</t>
  </si>
  <si>
    <t>WAWA CRIND DECAL</t>
  </si>
  <si>
    <t>GIL-EU04001G588</t>
  </si>
  <si>
    <t>EXXON DECAL</t>
  </si>
  <si>
    <t>GIL-EU04001G1293</t>
  </si>
  <si>
    <t>CRIND OVERLAY WAWA</t>
  </si>
  <si>
    <t>GIL-EU03004G186</t>
  </si>
  <si>
    <t>WAWA ENCORE OVERLAY</t>
  </si>
  <si>
    <t>GIL-EU03004G148</t>
  </si>
  <si>
    <t>POS SHELL OVERLAY</t>
  </si>
  <si>
    <t>GIL-EU03004G074</t>
  </si>
  <si>
    <t>SHELL OVERLAY</t>
  </si>
  <si>
    <t>GIL-EU03004G031</t>
  </si>
  <si>
    <t>OCTANE DECAL KIT</t>
  </si>
  <si>
    <t>GIL-EU02005G001</t>
  </si>
  <si>
    <t>E-300 OCT DECALS</t>
  </si>
  <si>
    <t>GIL-EU02004G001</t>
  </si>
  <si>
    <t>COSTCO OVERLAY</t>
  </si>
  <si>
    <t>GIL-EU01003G017</t>
  </si>
  <si>
    <t>GIL-EU01003G002</t>
  </si>
  <si>
    <t>SOFT KEY OVERLAY</t>
  </si>
  <si>
    <t>GIL-EU01001G001</t>
  </si>
  <si>
    <t>ENCORE EPP KIT</t>
  </si>
  <si>
    <t>GIL-EPKENC3-EPK-ENC</t>
  </si>
  <si>
    <t>WAWA CROWN DECAL</t>
  </si>
  <si>
    <t>GIL-ENS1401G402</t>
  </si>
  <si>
    <t>ENCS CROWN GRAPHIC 7-11</t>
  </si>
  <si>
    <t>GIL-ENS1401G099</t>
  </si>
  <si>
    <t>WAWA DOOR OVERLAY</t>
  </si>
  <si>
    <t>GIL-ENS1201G001</t>
  </si>
  <si>
    <t>NON CRIND BLANKING PANEL</t>
  </si>
  <si>
    <t>GIL-ENS1106G001</t>
  </si>
  <si>
    <t>ENC DUAL NOZZLE BOOT</t>
  </si>
  <si>
    <t>GIL-ENS1105G006</t>
  </si>
  <si>
    <t>ENCS DUAL NZL</t>
  </si>
  <si>
    <t>GIL-ENS1105G001</t>
  </si>
  <si>
    <t>WAWA RIGHT DOOR OVERLAY</t>
  </si>
  <si>
    <t>GIL-ENS1103G056</t>
  </si>
  <si>
    <t>ENCS SINGLE NOZZLE BLANK RT</t>
  </si>
  <si>
    <t>GIL-ENS1103G012</t>
  </si>
  <si>
    <t>500S GRADE PANEL</t>
  </si>
  <si>
    <t>GIL-ENS0908G017</t>
  </si>
  <si>
    <t>ENC 3+1 OVERLAY</t>
  </si>
  <si>
    <t>GIL-ENS0904G143</t>
  </si>
  <si>
    <t>ENC 4+ BRAND SUNOCO OVERLAY</t>
  </si>
  <si>
    <t>GIL-ENS0805G001</t>
  </si>
  <si>
    <t>BRAND PANEL OVERLAY</t>
  </si>
  <si>
    <t>GIL-ENS0804G176</t>
  </si>
  <si>
    <t>ENCS 3+0 BRND SODA 7-11</t>
  </si>
  <si>
    <t>GIL-ENS0804G146</t>
  </si>
  <si>
    <t>WAWA PAY PASS OVERLAY</t>
  </si>
  <si>
    <t>GIL-ENS0702G011</t>
  </si>
  <si>
    <t>SYNERGY SOFTKEY OVERLAY</t>
  </si>
  <si>
    <t>GIL-ENS0301G040</t>
  </si>
  <si>
    <t>EXXON OVERLAY</t>
  </si>
  <si>
    <t>GIL-ENS0301G009</t>
  </si>
  <si>
    <t>SHELL MONOCHROME OVERLAY</t>
  </si>
  <si>
    <t>GIL-ENS0301G006</t>
  </si>
  <si>
    <t>SOFTKEY MONO OVERLAY</t>
  </si>
  <si>
    <t>GIL-ENS0301G001</t>
  </si>
  <si>
    <t>WAWA KEYPAD OVERLAY</t>
  </si>
  <si>
    <t>GIL-ENE1701G148</t>
  </si>
  <si>
    <t>ENC ECIM DOOR KEYPAD</t>
  </si>
  <si>
    <t>GIL-ENE1701G001</t>
  </si>
  <si>
    <t>ENCE TRIND BLANK 7-11</t>
  </si>
  <si>
    <t>GIL-ENE0702G020</t>
  </si>
  <si>
    <t>ADA OVERLAY</t>
  </si>
  <si>
    <t>GIL-ENE0611G148</t>
  </si>
  <si>
    <t>ADA PRINT SOFTKEY OVERLAY</t>
  </si>
  <si>
    <t>GIL-ENE0611G147</t>
  </si>
  <si>
    <t>ADA WAWA OVERLAY</t>
  </si>
  <si>
    <t>GIL-ENE0611G145</t>
  </si>
  <si>
    <t>E500 EPP OVERLAY</t>
  </si>
  <si>
    <t>GIL-ENE0604G113</t>
  </si>
  <si>
    <t>EPP KEYPAD OVERLAY</t>
  </si>
  <si>
    <t>GIL-ENE0604G054</t>
  </si>
  <si>
    <t>GIL-ENE0402G002</t>
  </si>
  <si>
    <t>ENCORE LEFT ECIM OVERLAY</t>
  </si>
  <si>
    <t>GIL-ENE0402G001</t>
  </si>
  <si>
    <t>SOFTKEY OVRLY</t>
  </si>
  <si>
    <t>GIL-ENE0301G003</t>
  </si>
  <si>
    <t>MAIN DISPLAY ECIM</t>
  </si>
  <si>
    <t>GIL-ENE0201G001</t>
  </si>
  <si>
    <t>ENCORE UPPER HOUSE EXXON</t>
  </si>
  <si>
    <t>GIL-EN55010GS002</t>
  </si>
  <si>
    <t>7-11 SPEC VALANCE</t>
  </si>
  <si>
    <t>GIL-EN55010GA151</t>
  </si>
  <si>
    <t>LOWER DOOR FULL PANEL</t>
  </si>
  <si>
    <t>GIL-EN13001GA753</t>
  </si>
  <si>
    <t>ENC LOWER DOOR 7-11</t>
  </si>
  <si>
    <t>GIL-EN13001GA495</t>
  </si>
  <si>
    <t>LOWER DOOR DECAL</t>
  </si>
  <si>
    <t>GIL-EN13001GA432</t>
  </si>
  <si>
    <t>EN-700 SYNERGY LOWER DOORS</t>
  </si>
  <si>
    <t>GIL-EN13001GA1811</t>
  </si>
  <si>
    <t>SHELL DOOR</t>
  </si>
  <si>
    <t>GIL-EN13001GA141</t>
  </si>
  <si>
    <t>WAWA LOWER DOOR</t>
  </si>
  <si>
    <t>GIL-EN13001GA1342</t>
  </si>
  <si>
    <t>GIL-EN13001GA113</t>
  </si>
  <si>
    <t>REFRIG DECAL</t>
  </si>
  <si>
    <t>GIL-EN11007G061</t>
  </si>
  <si>
    <t>ENC LEFT CIM SUNOCO DECAL</t>
  </si>
  <si>
    <t>GIL-EN11007G012</t>
  </si>
  <si>
    <t>WAWA LEFT SIM DOOR DECAL</t>
  </si>
  <si>
    <t>GIL-EN11007G001</t>
  </si>
  <si>
    <t>ENC L-CIM SUNOCO DECAL</t>
  </si>
  <si>
    <t>GIL-EN08105G014</t>
  </si>
  <si>
    <t>WAWA OVERALY</t>
  </si>
  <si>
    <t>GIL-EN08104G458</t>
  </si>
  <si>
    <t>MOBIL OVERLAY</t>
  </si>
  <si>
    <t>GIL-EN08104G030</t>
  </si>
  <si>
    <t>ENCORE DEISEL OVERLAY</t>
  </si>
  <si>
    <t>GIL-EN08102-G294</t>
  </si>
  <si>
    <t>WAWA BRAND</t>
  </si>
  <si>
    <t>GIL-EN08004G458</t>
  </si>
  <si>
    <t>EN L-CIM SHELL OVERLAY</t>
  </si>
  <si>
    <t>GIL-EN08004G278</t>
  </si>
  <si>
    <t>KERO DECAL</t>
  </si>
  <si>
    <t>GIL-EN08002G352</t>
  </si>
  <si>
    <t>EXXON OVERLAY SYNERGY</t>
  </si>
  <si>
    <t>GIL-EN05002G015</t>
  </si>
  <si>
    <t>SOFTKEY OVERLAY</t>
  </si>
  <si>
    <t>GIL-EN0402G002</t>
  </si>
  <si>
    <t>EXXON OVERLAY RIGHT</t>
  </si>
  <si>
    <t>GIL-EN04002G015</t>
  </si>
  <si>
    <t>EPSON PRINTER</t>
  </si>
  <si>
    <t>FIL-PA04270013</t>
  </si>
  <si>
    <t>ETHANOL 1" FILTER</t>
  </si>
  <si>
    <t>FIL-CC400MB-10</t>
  </si>
  <si>
    <t>30 MIC FILTER</t>
  </si>
  <si>
    <t>FIL-800-30</t>
  </si>
  <si>
    <t>300HS-30 TII Filter</t>
  </si>
  <si>
    <t>FIL-70064</t>
  </si>
  <si>
    <t>400HS-10 FILTER</t>
  </si>
  <si>
    <t>FIL-70060</t>
  </si>
  <si>
    <t>70032 FILTER</t>
  </si>
  <si>
    <t>FIL-70032 450MG</t>
  </si>
  <si>
    <t>70065 400HS-30 TII Filter</t>
  </si>
  <si>
    <t>FIL-65</t>
  </si>
  <si>
    <t>DIESEL FILTER 7-11 SPEC</t>
  </si>
  <si>
    <t>FIL-40530W-AD</t>
  </si>
  <si>
    <t>PETRO CLEAR FILTER</t>
  </si>
  <si>
    <t>FIL-40510W-AD</t>
  </si>
  <si>
    <t>SUNOCO FILTER BLUE</t>
  </si>
  <si>
    <t>FIL-40510-AD</t>
  </si>
  <si>
    <t>10 MIC 3/4 FILTER</t>
  </si>
  <si>
    <t>FIL-300HS-10</t>
  </si>
  <si>
    <t>Price Level 1</t>
  </si>
  <si>
    <t>ITEMS</t>
  </si>
  <si>
    <t>FIL-300HS-10 - 10 MIC 3/4 FILTER</t>
  </si>
  <si>
    <t>FIL-40510-AD - SUNOCO FILTER BLUE</t>
  </si>
  <si>
    <t>FIL-40510W-AD - PETRO CLEAR FILTER</t>
  </si>
  <si>
    <t>FIL-40530W-AD - DIESEL FILTER 7-11 SPEC</t>
  </si>
  <si>
    <t>FIL-65 - 70065 400HS-30 TII Filter</t>
  </si>
  <si>
    <t>FIL-70032 450MG - 70032 FILTER</t>
  </si>
  <si>
    <t>FIL-70060 - 400HS-10 FILTER</t>
  </si>
  <si>
    <t>FIL-70064 - 300HS-30 TII Filter</t>
  </si>
  <si>
    <t>FIL-800-30 - 30 MIC FILTER</t>
  </si>
  <si>
    <t>FIL-CC400MB-10 - ETHANOL 1" FILTER</t>
  </si>
  <si>
    <t>FIL-PA04270013 - EPSON PRINTER</t>
  </si>
  <si>
    <t>GIL-EN04002G015 - EXXON OVERLAY RIGHT</t>
  </si>
  <si>
    <t>GIL-EN0402G002 - SOFTKEY OVERLAY</t>
  </si>
  <si>
    <t>GIL-EN05002G015 - EXXON OVERLAY SYNERGY</t>
  </si>
  <si>
    <t>GIL-EN08002G352 - KERO DECAL</t>
  </si>
  <si>
    <t>GIL-EN08004G278 - EN L-CIM SHELL OVERLAY</t>
  </si>
  <si>
    <t>GIL-EN08004G458 - WAWA BRAND</t>
  </si>
  <si>
    <t>GIL-EN08102-G294 - ENCORE DEISEL OVERLAY</t>
  </si>
  <si>
    <t>GIL-EN08104G030 - MOBIL OVERLAY</t>
  </si>
  <si>
    <t>GIL-EN08104G458 - WAWA OVERALY</t>
  </si>
  <si>
    <t>GIL-EN08105G014 - ENC L-CIM SUNOCO DECAL</t>
  </si>
  <si>
    <t>GIL-EN11007G001 - WAWA LEFT SIM DOOR DECAL</t>
  </si>
  <si>
    <t>GIL-EN11007G012 - ENC LEFT CIM SUNOCO DECAL</t>
  </si>
  <si>
    <t>GIL-EN11007G061 - REFRIG DECAL</t>
  </si>
  <si>
    <t>GIL-EN13001GA113 - WAWA LOWER DOOR</t>
  </si>
  <si>
    <t>GIL-EN13001GA1342 - WAWA LOWER DOOR</t>
  </si>
  <si>
    <t>GIL-EN13001GA141 - SHELL DOOR</t>
  </si>
  <si>
    <t>GIL-EN13001GA1811 - EN-700 SYNERGY LOWER DOORS</t>
  </si>
  <si>
    <t>GIL-EN13001GA432 - LOWER DOOR DECAL</t>
  </si>
  <si>
    <t>GIL-EN13001GA495 - ENC LOWER DOOR 7-11</t>
  </si>
  <si>
    <t>GIL-EN13001GA753 - LOWER DOOR FULL PANEL</t>
  </si>
  <si>
    <t>GIL-EN55010GA151 - 7-11 SPEC VALANCE</t>
  </si>
  <si>
    <t>GIL-EN55010GS002 - ENCORE UPPER HOUSE EXXON</t>
  </si>
  <si>
    <t>GIL-ENE0201G001 - MAIN DISPLAY ECIM</t>
  </si>
  <si>
    <t>GIL-ENE0301G003 - SOFTKEY OVRLY</t>
  </si>
  <si>
    <t>GIL-ENE0402G001 - ENCORE LEFT ECIM OVERLAY</t>
  </si>
  <si>
    <t>GIL-ENE0402G002 - SOFT KEY OVERLAY</t>
  </si>
  <si>
    <t>GIL-ENE0604G054 - EPP KEYPAD OVERLAY</t>
  </si>
  <si>
    <t>GIL-ENE0604G113 - E500 EPP OVERLAY</t>
  </si>
  <si>
    <t>GIL-ENE0611G145 - ADA WAWA OVERLAY</t>
  </si>
  <si>
    <t>GIL-ENE0611G147 - ADA PRINT SOFTKEY OVERLAY</t>
  </si>
  <si>
    <t>GIL-ENE0611G148 - ADA OVERLAY</t>
  </si>
  <si>
    <t>GIL-ENE0702G020 - ENCE TRIND BLANK 7-11</t>
  </si>
  <si>
    <t>GIL-ENE1701G001 - ENC ECIM DOOR KEYPAD</t>
  </si>
  <si>
    <t>GIL-ENE1701G148 - WAWA KEYPAD OVERLAY</t>
  </si>
  <si>
    <t>GIL-ENS0301G001 - SOFTKEY MONO OVERLAY</t>
  </si>
  <si>
    <t>GIL-ENS0301G006 - SHELL MONOCHROME OVERLAY</t>
  </si>
  <si>
    <t>GIL-ENS0301G009 - EXXON OVERLAY</t>
  </si>
  <si>
    <t>GIL-ENS0301G040 - SYNERGY SOFTKEY OVERLAY</t>
  </si>
  <si>
    <t>GIL-ENS0702G011 - WAWA PAY PASS OVERLAY</t>
  </si>
  <si>
    <t>GIL-ENS0804G146 - ENCS 3+0 BRND SODA 7-11</t>
  </si>
  <si>
    <t>GIL-ENS0804G176 - BRAND PANEL OVERLAY</t>
  </si>
  <si>
    <t>GIL-ENS0805G001 - ENC 4+ BRAND SUNOCO OVERLAY</t>
  </si>
  <si>
    <t>GIL-ENS0904G143 - ENC 3+1 OVERLAY</t>
  </si>
  <si>
    <t>GIL-ENS0908G017 - 500S GRADE PANEL</t>
  </si>
  <si>
    <t>GIL-ENS1103G012 - ENCS SINGLE NOZZLE BLANK RT</t>
  </si>
  <si>
    <t>GIL-ENS1103G056 - WAWA RIGHT DOOR OVERLAY</t>
  </si>
  <si>
    <t>GIL-ENS1105G001 - ENCS DUAL NZL</t>
  </si>
  <si>
    <t>GIL-ENS1105G006 - ENC DUAL NOZZLE BOOT</t>
  </si>
  <si>
    <t>GIL-ENS1106G001 - NON CRIND BLANKING PANEL</t>
  </si>
  <si>
    <t>GIL-ENS1201G001 - WAWA DOOR OVERLAY</t>
  </si>
  <si>
    <t>GIL-ENS1401G099 - ENCS CROWN GRAPHIC 7-11</t>
  </si>
  <si>
    <t>GIL-ENS1401G402 - WAWA CROWN DECAL</t>
  </si>
  <si>
    <t>GIL-EPKENC3-EPK-ENC - ENCORE EPP KIT</t>
  </si>
  <si>
    <t>GIL-EU01001G001 - SOFT KEY OVERLAY</t>
  </si>
  <si>
    <t>GIL-EU01003G002 - SHELL OVERLAY</t>
  </si>
  <si>
    <t>GIL-EU01003G017 - COSTCO OVERLAY</t>
  </si>
  <si>
    <t>GIL-EU02004G001 - E-300 OCT DECALS</t>
  </si>
  <si>
    <t>GIL-EU02005G001 - OCTANE DECAL KIT</t>
  </si>
  <si>
    <t>GIL-EU03004G031 - SHELL OVERLAY</t>
  </si>
  <si>
    <t>GIL-EU03004G074 - POS SHELL OVERLAY</t>
  </si>
  <si>
    <t>GIL-EU03004G148 - WAWA ENCORE OVERLAY</t>
  </si>
  <si>
    <t>GIL-EU03004G186 - CRIND OVERLAY WAWA</t>
  </si>
  <si>
    <t>GIL-EU04001G1293 - EXXON DECAL</t>
  </si>
  <si>
    <t>GIL-EU04001G588 - WAWA CRIND DECAL</t>
  </si>
  <si>
    <t>GIL-K02309C07 - 3/4 PIPE PLUG</t>
  </si>
  <si>
    <t>GIL-K34468 - Retractor Clamp</t>
  </si>
  <si>
    <t>GIL-K34947 - Retractor Cable</t>
  </si>
  <si>
    <t>GIL-K35222 - METER ORING KIT</t>
  </si>
  <si>
    <t>GIL-K35278 - Hiline Handle Spring</t>
  </si>
  <si>
    <t>GIL-K35297 - IS BARRIER CAP</t>
  </si>
  <si>
    <t>GIL-K35359 - METER GASKET ORING KIT</t>
  </si>
  <si>
    <t>GIL-K35496-202 - B79 7-11 SPEC VALANCE</t>
  </si>
  <si>
    <t>GIL-K75204 - HIII NUT</t>
  </si>
  <si>
    <t>GIL-K83512-25 - GILBARCO LOWER DOOR KEY</t>
  </si>
  <si>
    <t>GIL-K83512-30 - Door Lock Assy</t>
  </si>
  <si>
    <t>GIL-K87218-02 - RETRACTOR CABLE</t>
  </si>
  <si>
    <t>GIL-K88740 - PLUNGER HILINE</t>
  </si>
  <si>
    <t>GIL-K88745 - DIAPHRAM SPRING</t>
  </si>
  <si>
    <t>GIL-K88746 - PILOT VALVE SPRING</t>
  </si>
  <si>
    <t>GIL-K88750 - Solonoid Diaphram</t>
  </si>
  <si>
    <t>GIL-K88760 - SEAL ASSY HIII</t>
  </si>
  <si>
    <t>GIL-K89699-07 - HILINE DISP KEY</t>
  </si>
  <si>
    <t>GIL-K89761SP - H111 Bezel Glass Kit</t>
  </si>
  <si>
    <t>GIL-K89799-01 - Flex. Totalizer Cable</t>
  </si>
  <si>
    <t>GIL-K89799-02 - S.P. Totalizer Cable</t>
  </si>
  <si>
    <t>GIL-K89799-20 - Flex. Totalizer Cable</t>
  </si>
  <si>
    <t>GIL-K90978 - Hiline Handle Switch</t>
  </si>
  <si>
    <t>GIL-K92555-01 - Hiline Logic Sftware</t>
  </si>
  <si>
    <t>GIL-K92631-G2 - Mod P.C. Software</t>
  </si>
  <si>
    <t>GIL-K93006 - STAGE II DIAPHRAM</t>
  </si>
  <si>
    <t>GIL-K93355-01 - PAM SOFTWARE</t>
  </si>
  <si>
    <t>GIL-K93674-01S - P A M Software</t>
  </si>
  <si>
    <t>GIL-K93682-G1 - Adv P.C. Software</t>
  </si>
  <si>
    <t>GIL-K93682-G13 - Adv Contrlr Sftware</t>
  </si>
  <si>
    <t>GIL-K93682-G2 - Pump Cntrlr Sftware</t>
  </si>
  <si>
    <t>GIL-K93682-G27N - PUMP CONTROL SOFTWARE</t>
  </si>
  <si>
    <t>GIL-K93682-G33 - Pump Controller Software</t>
  </si>
  <si>
    <t>GIL-K93682-G6 - MOD PC SOFTWARE VER.54.2.4</t>
  </si>
  <si>
    <t>GIL-K93686-G1 - Main Display Window</t>
  </si>
  <si>
    <t>GIL-K93713-01 - Crind Receipt Cutter</t>
  </si>
  <si>
    <t>GIL-K93733-01 - Hyd Blnd Software</t>
  </si>
  <si>
    <t>GIL-K93734-01 - Adv Blend Software</t>
  </si>
  <si>
    <t>GIL-K93734-101 - Adv Blend Software</t>
  </si>
  <si>
    <t>GIL-K93734-601S - Dispenser Software</t>
  </si>
  <si>
    <t>GIL-K93734-701 - E-300 P.C.Software</t>
  </si>
  <si>
    <t>GIL-K93744-20 - NEW SOFTWARE</t>
  </si>
  <si>
    <t>GIL-K93896-01 - Multiplex Software</t>
  </si>
  <si>
    <t>GIL-K94126 - AC BACKLIGHT KIT</t>
  </si>
  <si>
    <t>GIL-K94246-01N - LOWER DOOR LOCK AND LATCH</t>
  </si>
  <si>
    <t>GIL-K94247-01 - Monochrome Software</t>
  </si>
  <si>
    <t>GIL-K94254-01 - Meter Check Valve</t>
  </si>
  <si>
    <t>GIL-K94328 - FLOW RESTRICTOR</t>
  </si>
  <si>
    <t>GIL-K94396-02 - MEMBRANE SWITCH MONOCHROME</t>
  </si>
  <si>
    <t>GIL-K96618 - METER GASKET KIT ENCORE</t>
  </si>
  <si>
    <t>GIL-K96663-01 - MONO MOUNTING KIT</t>
  </si>
  <si>
    <t>GIL-K96663-02 - Monochrome Display</t>
  </si>
  <si>
    <t>GIL-KS702B0022D - EDH HARD DRIVE</t>
  </si>
  <si>
    <t>GIL-LS-12 - Lead Seal LS-12</t>
  </si>
  <si>
    <t>GIL-M000651A001 - E-500 PPU ASSY</t>
  </si>
  <si>
    <t>GIL-M00147A001 - E-500 MANAGER KEYPAD</t>
  </si>
  <si>
    <t>GIL-M00150A001 - CALIBRATION CABLE</t>
  </si>
  <si>
    <t>GIL-M00347A001 - ENCORE PPU LENS</t>
  </si>
  <si>
    <t>GIL-M00371B003 - MAIN DISPLAY WINDOW</t>
  </si>
  <si>
    <t>GIL-M00419B311 - METRIC M3X8 SCREW</t>
  </si>
  <si>
    <t>GIL-M00467B001 - DISPENSER TOP METAL</t>
  </si>
  <si>
    <t>GIL-M00489A007 - CABLE LON BUS</t>
  </si>
  <si>
    <t>GIL-M00501A001 - CARDREADER CABLE</t>
  </si>
  <si>
    <t>GIL-M00578A001 - UPPER HYD COVER</t>
  </si>
  <si>
    <t>GIL-M00586B002 - INNER COLUMN SHEATHING</t>
  </si>
  <si>
    <t>GIL-M00588B002 - EN 300 STAINLESS STEEL</t>
  </si>
  <si>
    <t>GIL-M00589B001 - UPPER HOUSING</t>
  </si>
  <si>
    <t>GIL-M00592B001 - ANGLE CASTING HOLE PLUG</t>
  </si>
  <si>
    <t>GIL-M00614A004 - CABLE</t>
  </si>
  <si>
    <t>GIL-M00641B001 - EXXON KEYPAD LF</t>
  </si>
  <si>
    <t>GIL-M00641B002 - EXXON KEYPAD RIGHT</t>
  </si>
  <si>
    <t>GIL-M00715A004 - CUSTOMER KEYPAD CABLE</t>
  </si>
  <si>
    <t>GIL-M00845A003 - CONDUIT CABLE ASSY</t>
  </si>
  <si>
    <t>GIL-M00848B001PB1-GK - ENCORE LOWER DOOR</t>
  </si>
  <si>
    <t>GIL-M00903B001 - SODA BUTTON</t>
  </si>
  <si>
    <t>GIL-M01047A005 - E-300 NOZZLE BOOT</t>
  </si>
  <si>
    <t>GIL-M01109B003 - COSTCO KEYPAD</t>
  </si>
  <si>
    <t>GIL-M01118B001 - 1/4-10 X1/2 ZINC SCREW</t>
  </si>
  <si>
    <t>GIL-M01207B001 - SPRING RETAINER PULSER SHAFT</t>
  </si>
  <si>
    <t>GIL-M01210A002 - NO CIM REFRIG DOOR</t>
  </si>
  <si>
    <t>GIL-M01254B003 - SOFT KEYPAD</t>
  </si>
  <si>
    <t>GIL-M012803A002 - DOOR NODE 5</t>
  </si>
  <si>
    <t>GIL-M01522A001 - EN 300 PPU DISPLAY</t>
  </si>
  <si>
    <t>GIL-M01564A001 - GRADE SELECT BOARD</t>
  </si>
  <si>
    <t>GIL-M01667A001 - ENCORE VALUE CABLE</t>
  </si>
  <si>
    <t>GIL-M01668A001 - PRINTER TO REG BRD</t>
  </si>
  <si>
    <t>GIL-M01700B103S - EDGEBPORT</t>
  </si>
  <si>
    <t>GIL-M01922A001 - E-500 PUMP NODE</t>
  </si>
  <si>
    <t>GIL-M01922A006 - PUMP NODE</t>
  </si>
  <si>
    <t>GIL-M02226B010 - ENC MANIFOLD CASTING</t>
  </si>
  <si>
    <t>GIL-M02227A001 - PROPORTIONAL VALVE</t>
  </si>
  <si>
    <t>GIL-M02335A001 - HYDROLIC INTERFACE BRD</t>
  </si>
  <si>
    <t>GIL-M02636A001 - MONOCHROME DISPLAY</t>
  </si>
  <si>
    <t>GIL-M02650B001N - MONOCHROME LENS</t>
  </si>
  <si>
    <t>GIL-M02870B005BS - MODEM 56K PCI CARD</t>
  </si>
  <si>
    <t>GIL-M02870B008S - PASS PORT POWER SUPPLY</t>
  </si>
  <si>
    <t>GIL-M02870B010S - FAN CHASIS</t>
  </si>
  <si>
    <t>GIL-M02870B023R - REBUILT PP MOTHER BOARD</t>
  </si>
  <si>
    <t>GIL-M02870B023S - OUTRIGHT PP MOTHER BOARD</t>
  </si>
  <si>
    <t>GIL-M02870B026S - RAM 184 PIN PX52</t>
  </si>
  <si>
    <t>GIL-M02870B039 - HARD DRIVE PASSPORT</t>
  </si>
  <si>
    <t>GIL-M02870G028 - 1GB RAM MEMORY STICK</t>
  </si>
  <si>
    <t>GIL-M02870K006 - HDD KIT</t>
  </si>
  <si>
    <t>GIL-M02958A001 - E-500 COIL CONDUIT ASSY</t>
  </si>
  <si>
    <t>GIL-M03171K001 - DRIVE BLADE &amp; HOLDER</t>
  </si>
  <si>
    <t>GIL-M03377A101 - MOTHERBOARD</t>
  </si>
  <si>
    <t>GIL-M03404B010 - MACHINED MANIFOLD</t>
  </si>
  <si>
    <t>GIL-M03533A001 - GRADE SELECT BUTTON ASSY</t>
  </si>
  <si>
    <t>GIL-M03651A-001 - CRIND LOGIC BOARD</t>
  </si>
  <si>
    <t>GIL-M03651A002UR - CRIND LOGIC BOARD</t>
  </si>
  <si>
    <t>GIL-M03695B007 - USB CABLE</t>
  </si>
  <si>
    <t>GIL-M03893A001 - SMART CONNECT PRGM PCA</t>
  </si>
  <si>
    <t>GIL-M04011B001 - 300 PULSER</t>
  </si>
  <si>
    <t>GIL-M04104A001 - POWER CONTROL MODULE</t>
  </si>
  <si>
    <t>GIL-M04108A001 - CRIND NODE 3</t>
  </si>
  <si>
    <t>GIL-M04119A001 - HENGSTLER 500 PRINTER</t>
  </si>
  <si>
    <t>GIL-M04163B001 - FUSE MODULE</t>
  </si>
  <si>
    <t>GIL-M04219B001N - PIN FOR HENGSTLER PRINTER</t>
  </si>
  <si>
    <t>GIL-M04219B001R - USB THERMAL PRINTER REBUILT</t>
  </si>
  <si>
    <t>GIL-M04326A001 - DOOR NODE 3</t>
  </si>
  <si>
    <t>GIL-M04388A001 - POWER SUPPLY RESISTORS</t>
  </si>
  <si>
    <t>GIL-M04466B010 - BACKLIGHT ASSY</t>
  </si>
  <si>
    <t>GIL-M04528A001 - PCA CALL INTERFACE</t>
  </si>
  <si>
    <t>GIL-M04532K005 - CONVERSION SOFTWARE</t>
  </si>
  <si>
    <t>GIL-M04588A001 - EN 500 PPU WITH SWITCH</t>
  </si>
  <si>
    <t>GIL-M04687A002 - INTERFACE CABLE</t>
  </si>
  <si>
    <t>GIL-M04809B015 - 3" THERMAL PAPER ROLL CRIND</t>
  </si>
  <si>
    <t>GIL-M04868B001 - LOWER SIDE FRAME BRACK</t>
  </si>
  <si>
    <t>GIL-M04920B003 - PUMPING UNIT</t>
  </si>
  <si>
    <t>GIL-M051650A001 - SENSOR CABLE</t>
  </si>
  <si>
    <t>GIL-M05415B002 - SS SIDE SHEATHING</t>
  </si>
  <si>
    <t>GIL-M05583B010 - ENCORE V/V CASTING</t>
  </si>
  <si>
    <t>GIL-M05612B110 - ENCORE HOSE OUTLET CASTING</t>
  </si>
  <si>
    <t>GIL-M05612K010 - OUTLET CASTING</t>
  </si>
  <si>
    <t>GIL-M05717B001P8A - MODULE TOP COVER END</t>
  </si>
  <si>
    <t>GIL-M05835A001 - DOOR NODE 4</t>
  </si>
  <si>
    <t>GIL-M05838A002 - 5 GRADE PPU W/O PANE;</t>
  </si>
  <si>
    <t>GIL-M05838A005 - 4 GRADE PPU W/O PANEL</t>
  </si>
  <si>
    <t>GIL-M05839B002 - E-300 COMBINED PULSER</t>
  </si>
  <si>
    <t>GIL-M05840B002 - EN 500 PULSER</t>
  </si>
  <si>
    <t>GIL-M0588B-002 - S.S. OUTER SHEATHING</t>
  </si>
  <si>
    <t>GIL-M05912A001 - ENCORE ENHANCED BOOT ASSY</t>
  </si>
  <si>
    <t>GIL-M05912A001N - ENCORE ENHANCED BOOT ASSY</t>
  </si>
  <si>
    <t>GIL-M05985K001 - MAIN DISPLAY LENS</t>
  </si>
  <si>
    <t>GIL-M06069B001 - SOFTSHELL KEYPAD</t>
  </si>
  <si>
    <t>GIL-M06071A002002 - PRINTER DOOR</t>
  </si>
  <si>
    <t>GIL-M06115A002 - CARD CABLE</t>
  </si>
  <si>
    <t>GIL-M06139A001 - E-500 PUSH TO START</t>
  </si>
  <si>
    <t>GIL-M06194A001 - PPU 3 GRADE SINGLE 500S</t>
  </si>
  <si>
    <t>GIL-M06194A002 - PPU DISPLAY 5 GRADE</t>
  </si>
  <si>
    <t>GIL-M06194K001 - PPU 3 GRADE KIT</t>
  </si>
  <si>
    <t>GIL-M06194K002 - PPU 5 GRADE KIT</t>
  </si>
  <si>
    <t>GIL-M06218A001 - PUMP FEEDLINE ASSEMBLY</t>
  </si>
  <si>
    <t>GIL-M06247A102002 - ENCORE ELECTRONIC DOOR</t>
  </si>
  <si>
    <t>GIL-M06294K005 - ADV PULSER SEC KIT</t>
  </si>
  <si>
    <t>GIL-M06295A001 - LATCH ASSY</t>
  </si>
  <si>
    <t>GIL-M06507B001 - METER MANIFOLD STRAINER</t>
  </si>
  <si>
    <t>GIL-M06745A001 - USB CABLE FOR HEJSTLER</t>
  </si>
  <si>
    <t>GIL-M06975K002 - CRIND KEYPAD KIT</t>
  </si>
  <si>
    <t>GIL-M07121A004 - AUXILARY BOARD</t>
  </si>
  <si>
    <t>GIL-M07220K001 - ULTRA HI CONVERSION VALVE KIT</t>
  </si>
  <si>
    <t>GIL-M07362A002 - FUSE BLOCK</t>
  </si>
  <si>
    <t>GIL-M07555A003 - POWER SUPPLY ASSY</t>
  </si>
  <si>
    <t>GIL-M07555A004 - POWER SUPPLY ASSY</t>
  </si>
  <si>
    <t>GIL-M07648A003 - ICE POWER SUPPLY</t>
  </si>
  <si>
    <t>GIL-M07648A004 - ICE POWER SUPPLY CABLE</t>
  </si>
  <si>
    <t>GIL-M07656B001 - PPU LENS</t>
  </si>
  <si>
    <t>GIL-M07689B002 - SUNOCO KEYPAD</t>
  </si>
  <si>
    <t>GIL-M07697B001 - MAIN DISPLAY LENS</t>
  </si>
  <si>
    <t>GIL-M07702009 - EPP INTERFACE CABLE</t>
  </si>
  <si>
    <t>GIL-M07702A010 - EPP WIRE HARNESS</t>
  </si>
  <si>
    <t>GIL-M07702A016 - 2 WIRE CABLE ENC 700</t>
  </si>
  <si>
    <t>GIL-M07702A017 - EPP CABLE</t>
  </si>
  <si>
    <t>GIL-M07744K007 - PULSER SEC KIT</t>
  </si>
  <si>
    <t>GIL-M07757A001 - ASSY PPU LENS &amp; PANEL</t>
  </si>
  <si>
    <t>GIL-M07813K208 - ENCRYPTED CARD READER KIT</t>
  </si>
  <si>
    <t>GIL-M07813K210 - ENCRYPTED CARD READER KIT</t>
  </si>
  <si>
    <t>GIL-M07895A001 - PCA HUB BOARD</t>
  </si>
  <si>
    <t>GIL-M07953A003 - POWER SUPPLY</t>
  </si>
  <si>
    <t>GIL-M07991A003 - PRINTER DOOR EN-5</t>
  </si>
  <si>
    <t>GIL-M07991A003015 - WAWA SILVER PRINTER DOOR</t>
  </si>
  <si>
    <t>GIL-M08037B001 - PUMP LOOP MODULE</t>
  </si>
  <si>
    <t>GIL-M08037B002 - CRIND EXPANSION KIT</t>
  </si>
  <si>
    <t>GIL-M08037B007 - CABLE PAM 5000</t>
  </si>
  <si>
    <t>GIL-M08037B010 - CENTRAL PROCESSOR BOARD</t>
  </si>
  <si>
    <t>GIL-M08054A901002 - E-CIM MONO DISP</t>
  </si>
  <si>
    <t>GIL-M08228K003 - EPP PIN PAD</t>
  </si>
  <si>
    <t>GIL-M08347K003 - NEW SOFTWARE</t>
  </si>
  <si>
    <t>GIL-M08399K001 - EPP KEYPAD KIT</t>
  </si>
  <si>
    <t>GIL-M08409A001 - EPP AUX KEYPAD DATA CABLE</t>
  </si>
  <si>
    <t>GIL-M08412B-001 - E300/500 EPP KEYPAD</t>
  </si>
  <si>
    <t>GIL-M08414A002 - EPP DATA CABLE</t>
  </si>
  <si>
    <t>GIL-M08418B001 - EPP AUXILLARY KEYPAD</t>
  </si>
  <si>
    <t>GIL-M08447-MONOPLEXI - 14 HOLE MONO LENS</t>
  </si>
  <si>
    <t>GIL-M08481B001 - KEYPAD MONO SCREEN</t>
  </si>
  <si>
    <t>GIL-M08743A001 - DOWNLOAD CABLE</t>
  </si>
  <si>
    <t>GIL-M08743A002 - STAND ALONE CABLE</t>
  </si>
  <si>
    <t>GIL-M09094K001 - ULTRA HIGH SEC PULSER KIT</t>
  </si>
  <si>
    <t>GIL-M09169K001 - ENC PULSER KIT</t>
  </si>
  <si>
    <t>GIL-M09219B008 - POWER SUPPLY 19V 180W</t>
  </si>
  <si>
    <t>GIL-M09219B033 - EPSON PRINTER CABLE 7' PSPT</t>
  </si>
  <si>
    <t>GIL-M09285K001 - ECO METER M14370K001</t>
  </si>
  <si>
    <t>GIL-M09474B006C - PX 60 HARD DRIVE</t>
  </si>
  <si>
    <t>GIL-M09747B001R - MOTHERBOARD</t>
  </si>
  <si>
    <t>GIL-M09747B002B - I/O STRIP BOARD</t>
  </si>
  <si>
    <t>GIL-M09747B003 - COMPACT FLASH BOARD</t>
  </si>
  <si>
    <t>GIL-M09747B004 - CEIERON PROCESSOR</t>
  </si>
  <si>
    <t>GIL-M09747B005 - RAM</t>
  </si>
  <si>
    <t>GIL-M09747B006C - HARD DRIVE 25 SATA</t>
  </si>
  <si>
    <t>GIL-M09747B007 - FAN</t>
  </si>
  <si>
    <t>GIL-M09747B008 - POWER SUPPLY W/O CORD</t>
  </si>
  <si>
    <t>GIL-M09747B010 - CABLE ASSEMBLY</t>
  </si>
  <si>
    <t>GIL-M09747B012 - I-BUTTON USB</t>
  </si>
  <si>
    <t>GIL-M09747B013 - I-BUTTON ADAPTOR</t>
  </si>
  <si>
    <t>GIL-M0974B012 - 32K I BUTTON 1-WIRE</t>
  </si>
  <si>
    <t>GIL-M10206B001 - RIGHT SOFTKEY KEYPAD</t>
  </si>
  <si>
    <t>GIL-M10206B002 - SOFTKEY KEYPAD</t>
  </si>
  <si>
    <t>GIL-M10270B001 - CABLE ADAPTOR FOR 10.4 DISPLAY</t>
  </si>
  <si>
    <t>GIL-M10661K001 - ENCRY PIN PAD 700</t>
  </si>
  <si>
    <t>GIL-M10662K001 - SMART PAD 2.1</t>
  </si>
  <si>
    <t>GIL-M10728K002 - SECURE CARD READER WAWA</t>
  </si>
  <si>
    <t>GIL-M10755A001 - HENG PRINTER FOR EN 300</t>
  </si>
  <si>
    <t>GIL-M10996A001 - 24VDC POWER SUPPLY</t>
  </si>
  <si>
    <t>GIL-M11116K003 - ULTRA HIGH 500S SEC KIT</t>
  </si>
  <si>
    <t>GIL-M11247B046 - EDH TANK GAUGE</t>
  </si>
  <si>
    <t>GIL-M11914B002 - METER TUBE DISCH11</t>
  </si>
  <si>
    <t>GIL-M11915B002 - METER TUBE DISCH 12</t>
  </si>
  <si>
    <t>GIL-M11916B002 - METER TUBE DISCH 21</t>
  </si>
  <si>
    <t>GIL-M11917B002 - METER TUBE DISCH 22</t>
  </si>
  <si>
    <t>GIL-M11918B002 - METER TUBE DISCH 23</t>
  </si>
  <si>
    <t>GIL-M11919B002 - METER TUBE DISCH 13</t>
  </si>
  <si>
    <t>GIL-M11930K001 - FLEX PAY CONTROL BRD</t>
  </si>
  <si>
    <t>GIL-M12234K001 - SECURITY PIN</t>
  </si>
  <si>
    <t>GIL-M12287B001 - EN 500S ADA KEYPAD</t>
  </si>
  <si>
    <t>GIL-M12492B003 - ENC 700 CARD READER</t>
  </si>
  <si>
    <t>GIL-M12507B001 - ENCORE BRACKET</t>
  </si>
  <si>
    <t>GIL-M12514K001 - ENC 700 PULSER</t>
  </si>
  <si>
    <t>GIL-M12547K001 - ENCRYPTED CARD READER KIT</t>
  </si>
  <si>
    <t>GIL-M12702A001 - PUMP CONTROL NODE 2</t>
  </si>
  <si>
    <t>GIL-M12702A002 - PUMP CONTROL NODE 3</t>
  </si>
  <si>
    <t>GIL-M12702A102 - EN PUMP CONTROL NODE 3+</t>
  </si>
  <si>
    <t>GIL-M12754B004 - CABLE WITH POWER CORD</t>
  </si>
  <si>
    <t>GIL-M12784B001 - ADV BRACKET</t>
  </si>
  <si>
    <t>GIL-M12803A003 - DOOR NODE</t>
  </si>
  <si>
    <t>GIL-M12803A009 - DOOR NODE 5 SIX DIGIT</t>
  </si>
  <si>
    <t>GIL-M12893K001 - SINGLE PPU DISPLAY W GASK</t>
  </si>
  <si>
    <t>GIL-M12893K002 - E-500 PPU BOARD</t>
  </si>
  <si>
    <t>GIL-M12982A001 - PPU 3 GRADE</t>
  </si>
  <si>
    <t>GIL-M13117A002 - DC POWER SPP EN 700 EMV CABLE</t>
  </si>
  <si>
    <t>GIL-M13119A003 - 10.4" DISPLAY CABLE</t>
  </si>
  <si>
    <t>GIL-M13120A001 - 24 VOLT DIST CABLE EN 700</t>
  </si>
  <si>
    <t>GIL-M13275B001 - CC CLEANING HOOK</t>
  </si>
  <si>
    <t>GIL-M13339K001 - PPU GRADE 3 LEVEL</t>
  </si>
  <si>
    <t>GIL-M13416A004 - COLOR DISPLAY</t>
  </si>
  <si>
    <t>GIL-M13722A002 - DATA TO DISPLAY CABLE</t>
  </si>
  <si>
    <t>GIL-M13832K005 - HENJ PRINTER PIN 10 PK</t>
  </si>
  <si>
    <t>GIL-M13888K901 - UPM PROGRAMMED NO KEY</t>
  </si>
  <si>
    <t>GIL-M13987A002 - PIP3 DISPLAY</t>
  </si>
  <si>
    <t>GIL-M14004A001 - 10.4 DISPLAY</t>
  </si>
  <si>
    <t>GIL-M14033B101 - MAG CARD SWIPE</t>
  </si>
  <si>
    <t>GIL-M14059A001 - GSOM BOARD</t>
  </si>
  <si>
    <t>GIL-M14330A001 - VERIFONE CARD READER</t>
  </si>
  <si>
    <t>GIL-M14338A006 - AUDIO VIDEO CABLE</t>
  </si>
  <si>
    <t>GIL-M14339A001 - PIP 3 CABLE</t>
  </si>
  <si>
    <t>GIL-M14346A001 - CABLE ASSY UPM</t>
  </si>
  <si>
    <t>GIL-M14425A002 - CABLE</t>
  </si>
  <si>
    <t>GIL-M14543A601015 - ECIM DOOR WITH MONO</t>
  </si>
  <si>
    <t>GIL-M14572A003 - VERIFONE MX915 BRACKET ASSY</t>
  </si>
  <si>
    <t>GIL-M14620K001 - E700 DISPLAY</t>
  </si>
  <si>
    <t>GIL-M14794K001 - COMBINED PULSER KIT</t>
  </si>
  <si>
    <t>GIL-M14881A002 - PCA FIELD WIRING BOARD</t>
  </si>
  <si>
    <t>GIL-M15212A001 - PIN PAD STAND</t>
  </si>
  <si>
    <t>GIL-M15241A002 - CABLE</t>
  </si>
  <si>
    <t>GIL-M15315K007 - FLEXPAY</t>
  </si>
  <si>
    <t>GIL-M15737A001 - DCM 2.2 W BARCKET</t>
  </si>
  <si>
    <t>GIL-M16181A002 - E-700 FLEXPAY M7</t>
  </si>
  <si>
    <t>GIL-MO1515A001 - E300 Main Display Board</t>
  </si>
  <si>
    <t>GIL-MO1546A001R - E-300 HYDRAULIC INTERFACE</t>
  </si>
  <si>
    <t>GIL-MO1549A001 - Valve Driver Board</t>
  </si>
  <si>
    <t>GIL-MO1585A-001 - PPU DATA CABLE</t>
  </si>
  <si>
    <t>GIL-MO1598A001-R - Pump Controller Board</t>
  </si>
  <si>
    <t>GIL-MO1621A001 - TOTALIZER BOARD</t>
  </si>
  <si>
    <t>GIL-MO1668A002 - INTERFACE CABLE</t>
  </si>
  <si>
    <t>GIL-MO1753A001 - E-500 CRIND NODE</t>
  </si>
  <si>
    <t>GIL-MO1785A001 - E-500 PCA Door Node</t>
  </si>
  <si>
    <t>GIL-MO1922A001 - E-500 PUMP NODE</t>
  </si>
  <si>
    <t>GIL-MO2044A001 - E-500 CONVERTER BRD</t>
  </si>
  <si>
    <t>GIL-MO2044A003 - EN 500 VALVE CONVERTER</t>
  </si>
  <si>
    <t>GIL-MO2136B001 - E-300 CARD READER</t>
  </si>
  <si>
    <t>GIL-MO2136K001 - E-300 CARD READER KIT</t>
  </si>
  <si>
    <t>GIL-MO2652A003 - PPU Display w/Switch</t>
  </si>
  <si>
    <t>GIL-MO2774A001 - E-500 POWER SUPPLY BOARD</t>
  </si>
  <si>
    <t>GIL-MO6756K001 - ENC LOWER SKI BOOT LATCH KIT</t>
  </si>
  <si>
    <t>GIL-MOO141B002 - Customer Input Keypad</t>
  </si>
  <si>
    <t>GIL-MOO141B004 - Customer Input Keypad</t>
  </si>
  <si>
    <t>GIL-MOO246A001 - E-500 Digital Valve</t>
  </si>
  <si>
    <t>GIL-MOO317A001 - E-500 Crind Printer</t>
  </si>
  <si>
    <t>GIL-MOO317A003 - E-300 Crind Printer</t>
  </si>
  <si>
    <t>GIL-MOO454A002 - Coil, Digital Valve</t>
  </si>
  <si>
    <t>GIL-MOO719A001 - E-500 DOWNLOAD CABLE</t>
  </si>
  <si>
    <t>GIL-MOOO56A001 - E-500 PUMP CONTROL NODE</t>
  </si>
  <si>
    <t>GIL-MOOO89A002 - Node, Crind Cntrl</t>
  </si>
  <si>
    <t>GIL-N16891-24 - Top Meter Seal</t>
  </si>
  <si>
    <t>GIL-N16891-32 - .862X.103X.103 VITON A O-RING</t>
  </si>
  <si>
    <t>GIL-N20429-01 - HILINE PILOT VALVE COIL</t>
  </si>
  <si>
    <t>GIL-N20475-12 - PILOT VALVE ASSY</t>
  </si>
  <si>
    <t>GIL-N20545-03 - HOSE RETRACTOR CABLE</t>
  </si>
  <si>
    <t>GIL-N20822 - SOLENOID VALVE</t>
  </si>
  <si>
    <t>GIL-N20834 - Hydraulic Tree/Short</t>
  </si>
  <si>
    <t>GIL-N21885-03 - TOTALIZER WITH BRACKET</t>
  </si>
  <si>
    <t>GIL-N22945-01 - Crind Display Window</t>
  </si>
  <si>
    <t>GIL-N22945-02 - CRIND DISPLAY WINDOW</t>
  </si>
  <si>
    <t>GIL-N23059 - PILOT VALVE 2 STAGE</t>
  </si>
  <si>
    <t>GIL-N23121-03 - Main Display Window</t>
  </si>
  <si>
    <t>GIL-N23142-01 - Display Wind. Gasket</t>
  </si>
  <si>
    <t>GIL-N23143 - Filler Plates</t>
  </si>
  <si>
    <t>GIL-N23179-01 - PPU DISPLAY MASK</t>
  </si>
  <si>
    <t>GIL-N23232-02 - Advantage Coil</t>
  </si>
  <si>
    <t>GIL-N23312-02 - ADV BLENDER COIL</t>
  </si>
  <si>
    <t>GIL-N23505 - CRIND CARD GASKET</t>
  </si>
  <si>
    <t>GIL-N23785-01 - Adv Coil Assy 2-Stem</t>
  </si>
  <si>
    <t>GIL-N23904-01 - C+ METER PLUG</t>
  </si>
  <si>
    <t>GIL-PA01570075 - CASH DRAWER BLACK</t>
  </si>
  <si>
    <t>GIL-PA025800001WAW - WAWA GSM</t>
  </si>
  <si>
    <t>GIL-PA02580000SHL - SHELL GSM</t>
  </si>
  <si>
    <t>GIL-PA0258000EMV1 - GSM  / MOBIL</t>
  </si>
  <si>
    <t>GIL-PA025800T1EMV - EXXON GSM</t>
  </si>
  <si>
    <t>GIL-PA025800T3SUN - SUNOCO GSM</t>
  </si>
  <si>
    <t>GIL-PA02710513 - PASSPORT SCANNER</t>
  </si>
  <si>
    <t>GIL-PA02870000000 - ISOLATION RELAY BOX</t>
  </si>
  <si>
    <t>GIL-PA03060020 - PASSPORT D BOX</t>
  </si>
  <si>
    <t>GIL-PA03270103A - PASSPORT DISPLAY</t>
  </si>
  <si>
    <t>GIL-PA03310004 - POWER SUPPLY</t>
  </si>
  <si>
    <t>GIL-PA03400017 - OKI PRINTER</t>
  </si>
  <si>
    <t>GIL-PA0340008 - BROTHER PRINTER</t>
  </si>
  <si>
    <t>GIL-PA0344007R - 15" TOUCH SCREEN</t>
  </si>
  <si>
    <t>GIL-PA03440104R - TOUCH SCREEN</t>
  </si>
  <si>
    <t>GIL-PA03580004 - APPLAUSE SERVER</t>
  </si>
  <si>
    <t>GIL-PA03750013R - EPSON PASSPORT PRINTER RB</t>
  </si>
  <si>
    <t>GIL-PA04060013 - EPSON PASSPORT PRINTER</t>
  </si>
  <si>
    <t>GIL-PA0412000SUN4R - SUNOCO PIN PAD</t>
  </si>
  <si>
    <t>GIL-PA041200EMV2 - EXXON PIN PAD</t>
  </si>
  <si>
    <t>GIL-PA04190004A - EDH 2</t>
  </si>
  <si>
    <t>GIL-PA04210007111 - MX19</t>
  </si>
  <si>
    <t>GIL-PA04220000222 - DIST BOX 110 V</t>
  </si>
  <si>
    <t>GIL-PA05415B001PA0 - OUTER COLUMN SHEATHING</t>
  </si>
  <si>
    <t>GIL-PAO2610000010 - Universal D-Box</t>
  </si>
  <si>
    <t>GIL-PB-1394 - 3/4 CONV HOUSING</t>
  </si>
  <si>
    <t>GIL-Q10066-18 - ECO METER ORING</t>
  </si>
  <si>
    <t>GIL-Q10066-51 - PROPORTIONAL VALVE ORING</t>
  </si>
  <si>
    <t>GIL-Q10067-14 - Pilot Valve O-Ring</t>
  </si>
  <si>
    <t>GIL-Q10068-09 - Manifold O-Ring Adv.</t>
  </si>
  <si>
    <t>GIL-Q10068-14 - In/Out O-Ring</t>
  </si>
  <si>
    <t>GIL-Q10068-15 - Manifold O-Ring</t>
  </si>
  <si>
    <t>GIL-Q10226-06SP - Adv Noz Hook Spring</t>
  </si>
  <si>
    <t>GIL-Q10546-02 - HIII NEOPREEN GASKET</t>
  </si>
  <si>
    <t>GIL-Q10895-07 - RELAY</t>
  </si>
  <si>
    <t>GIL-Q10898-115 - GILBARCO CRIND KEY</t>
  </si>
  <si>
    <t>GIL-Q11008-01 - PRESTART RELAY</t>
  </si>
  <si>
    <t>GIL-Q11011-01 - JUMPERS</t>
  </si>
  <si>
    <t>GIL-Q11482 - WALLACE CLEANING CARDS</t>
  </si>
  <si>
    <t>GIL-Q11489-06 - Crind Card Reader</t>
  </si>
  <si>
    <t>GIL-Q11542-52 - Pump Loop Cable 10'</t>
  </si>
  <si>
    <t>GIL-Q11590-01 - Speakers Crind Printer Door</t>
  </si>
  <si>
    <t>GIL-Q11781-01 - FUSE HOLDER</t>
  </si>
  <si>
    <t>GIL-Q12207-G1 - TS1000 Control P.S.</t>
  </si>
  <si>
    <t>GIL-Q12406 - ADV DOOR GASKET 250' ROLL</t>
  </si>
  <si>
    <t>GIL-Q12406-01 - ADV DOOR GASKET</t>
  </si>
  <si>
    <t>GIL-Q12444-03 - 300 LCD DISPLAY</t>
  </si>
  <si>
    <t>GIL-Q12448-04 - Inc. Submin. Lamp</t>
  </si>
  <si>
    <t>GIL-Q12476-02/03 - CND Printer Cntrl Brd</t>
  </si>
  <si>
    <t>GIL-Q12514-06 - REED HANDLE SWITCH 2 PRONG</t>
  </si>
  <si>
    <t>GIL-Q12514-07 - ENCORE PUMP HANDLE SWITCH</t>
  </si>
  <si>
    <t>GIL-Q12514-08 - E-500 HANDLE SWITCH</t>
  </si>
  <si>
    <t>GIL-Q12514-10 - E-500 HANDLE SWITCH</t>
  </si>
  <si>
    <t>GIL-Q12514-11 - ENCORE PUMP HANDLE SWITCH</t>
  </si>
  <si>
    <t>GIL-Q12519-01 - Crind Door Receptacle</t>
  </si>
  <si>
    <t>GIL-Q12519-02 - Crind Door Stud</t>
  </si>
  <si>
    <t>GIL-Q12530-01 - Printer Switch</t>
  </si>
  <si>
    <t>GIL-Q12534-170 - DIAGNOSTIC TEST CARD</t>
  </si>
  <si>
    <t>GIL-Q12542-01 - CRIND DOOR LOCK</t>
  </si>
  <si>
    <t>GIL-Q12563-01 - DRAW LATCH</t>
  </si>
  <si>
    <t>GIL-Q12929-02 - 13 WT Fluorescent LP</t>
  </si>
  <si>
    <t>GIL-Q12974-218 - ORING 1.234</t>
  </si>
  <si>
    <t>GIL-Q13040-01 - STP ISOLATION RELAY</t>
  </si>
  <si>
    <t>GIL-Q13086-103 - 235 WATT POWER SUPPLY</t>
  </si>
  <si>
    <t>GIL-Q13178-08 - POWER SUPPLY FOR PA0344007</t>
  </si>
  <si>
    <t>GIL-Q13178-10 - POWER SUPPLY FOR PA0344104</t>
  </si>
  <si>
    <t>GIL-Q13180-03 - 25 PIN GENDER MENDER</t>
  </si>
  <si>
    <t>GIL-Q13180-10 - GENDER MENDER F/CITIZEN GSX190</t>
  </si>
  <si>
    <t>GIL-Q13180-17B - GENDER MENDER FEMALE</t>
  </si>
  <si>
    <t>GIL-Q13180-20B - GENDER MENDER 500</t>
  </si>
  <si>
    <t>GIL-Q13180-46B - GENDER MENDER</t>
  </si>
  <si>
    <t>GIL-Q13180-63B - GENDER MENDER</t>
  </si>
  <si>
    <t>GIL-Q13241-02 - LINE BOOSTER KIT</t>
  </si>
  <si>
    <t>GIL-Q13400 - CARD CLEANER</t>
  </si>
  <si>
    <t>GIL-Q13528-07 - DIGITAL VALVE REPAIR KIT</t>
  </si>
  <si>
    <t>GIL-Q13625-102 - PULSER SECURITY  KIT TOOL</t>
  </si>
  <si>
    <t>GIL-R14670 - Hydraulic Tree/Long</t>
  </si>
  <si>
    <t>GIL-R15085-01 - DISPENSER SWIVEL</t>
  </si>
  <si>
    <t>GIL-R15085-02 - Dispenser Swivel</t>
  </si>
  <si>
    <t>GIL-R15225 - HIII IS BARRIER</t>
  </si>
  <si>
    <t>GIL-R15966-03 - Crind Window Gasket</t>
  </si>
  <si>
    <t>GIL-R16474-01 - PPU Window</t>
  </si>
  <si>
    <t>GIL-R17995-G4 - RIBBON CABLE ASSY</t>
  </si>
  <si>
    <t>GIL-R17995-G7 - LOGIC TO REG CABLE</t>
  </si>
  <si>
    <t>GIL-R18453 - Retractor Guide</t>
  </si>
  <si>
    <t>GIL-R18837-01 - LEAF SPRING (GRADESELECT)</t>
  </si>
  <si>
    <t>GIL-R18912-01 - Adj Meter Plate</t>
  </si>
  <si>
    <t>GIL-R1900-02 - PAM 5000 CABLE</t>
  </si>
  <si>
    <t>GIL-R1900-03 - PAM 5000 PUMP CALBE</t>
  </si>
  <si>
    <t>GIL-R1900-04 - PAM 5000 CABLE</t>
  </si>
  <si>
    <t>GIL-R19023 - CABLE CONTROL K-PAD</t>
  </si>
  <si>
    <t>GIL-R19093 - Adv/MPD Valve 2 -Stage</t>
  </si>
  <si>
    <t>GIL-R19096-G1 - PPU ASSY SHAFT</t>
  </si>
  <si>
    <t>GIL-R19152-G2 - Logic to Display Cab</t>
  </si>
  <si>
    <t>GIL-R19177-01 - UPPER DOOR HINGE</t>
  </si>
  <si>
    <t>GIL-R19246-02 - MAIN DISPLAY ADV</t>
  </si>
  <si>
    <t>GIL-R19249-G1 - D-Box Ribbon Cable</t>
  </si>
  <si>
    <t>GIL-R19272-G1 - Adv Handle Inner</t>
  </si>
  <si>
    <t>GIL-R19281-G1 - CABLE ASSY</t>
  </si>
  <si>
    <t>GIL-R19424 - FILTER CUP</t>
  </si>
  <si>
    <t>GIL-R19429-G1 - Graphic Overlay Blk</t>
  </si>
  <si>
    <t>GIL-R19457 - FILTER STRAINER</t>
  </si>
  <si>
    <t>GIL-R19665-G1 - ASSY RIBBON CABLE</t>
  </si>
  <si>
    <t>GIL-R19666-G1 - V/V DATA CABLE</t>
  </si>
  <si>
    <t>GIL-R19667-G2 - RIBBON CABLE ASSY</t>
  </si>
  <si>
    <t>GIL-R20289-01 - ORANGE FILLER PLATE</t>
  </si>
  <si>
    <t>GIL-R20373-G1 - SODA BUTTON</t>
  </si>
  <si>
    <t>GIL-R20395-G01 - WAWA BLENDER LENS</t>
  </si>
  <si>
    <t>GIL-R20422-G1 - DBOX POWER SUPPLY</t>
  </si>
  <si>
    <t>GIL-R20651-G1 - PRINTER CABLE ASSY</t>
  </si>
  <si>
    <t>GIL-R20713-G1 - Adv Flapper Assy</t>
  </si>
  <si>
    <t>GIL-R20748-G1 - MONO TO BACKLT CABLE</t>
  </si>
  <si>
    <t>GIL-R20778-G1 - 24 VAC MONO CABLE ASSY</t>
  </si>
  <si>
    <t>GIL-R60030-G17 - ADV OCTANE OVERLAY KIT</t>
  </si>
  <si>
    <t>GIL-RPA024TC10S - RE-MAN METER</t>
  </si>
  <si>
    <t>GIL-S704-60004FD - EDH SOFTWARE W PASSPORT</t>
  </si>
  <si>
    <t>GIL-S704-60023FD - PASSPORT USB DRIVE</t>
  </si>
  <si>
    <t>GIL-S704-60024FDF - EDH SOFTWARE THUMBDRIVE</t>
  </si>
  <si>
    <t>GIL-T12643-G2 - H111 P.S. Chassis</t>
  </si>
  <si>
    <t>GIL-T13713-G11 - HIII IS BARRIER MECHANICAL</t>
  </si>
  <si>
    <t>GIL-T14974-G1 - Sid Display</t>
  </si>
  <si>
    <t>GIL-T15077-G1 - SID DISPLAY</t>
  </si>
  <si>
    <t>GIL-T15841-G1 - MOD Pump Cntrl Board</t>
  </si>
  <si>
    <t>GIL-T15841-G3 - Adv Pump Control Brd</t>
  </si>
  <si>
    <t>GIL-T15849-G1 - Mod Hyd Interface N/V</t>
  </si>
  <si>
    <t>GIL-T15849-G2 - Adv Hyd Interface</t>
  </si>
  <si>
    <t>GIL-T15857-G1 - Mod Regulator Brd</t>
  </si>
  <si>
    <t>GIL-T16226-G2/G3 - Modular SID Display</t>
  </si>
  <si>
    <t>GIL-T16353-G1 - PPU Display Cable</t>
  </si>
  <si>
    <t>GIL-T16937-G1 - TS1000 CPU Brd</t>
  </si>
  <si>
    <t>GIL-T16957-G1 - TS1000 Contrlr I/O</t>
  </si>
  <si>
    <t>GIL-T16963-G1 - Controller Backplane</t>
  </si>
  <si>
    <t>GIL-T17122-G1 - TS1000 Memory Board</t>
  </si>
  <si>
    <t>GIL-T17461-G1 - Valve Drvr Processor</t>
  </si>
  <si>
    <t>GIL-T17461-G2 - Blen Driver Board</t>
  </si>
  <si>
    <t>GIL-T17536-G1 - PPU Display Cable Adv</t>
  </si>
  <si>
    <t>GIL-T17549 - Program Keypad</t>
  </si>
  <si>
    <t>GIL-T17622-G5MED - ADV BACKLITE 0.7IN</t>
  </si>
  <si>
    <t>GIL-T17622-G6LG - Adv Backlite 1IN</t>
  </si>
  <si>
    <t>GIL-T17622-G8S - Adv Backlite 0.5IN</t>
  </si>
  <si>
    <t>GIL-T17635-02 - Display Window</t>
  </si>
  <si>
    <t>GIL-T17651-G1 - TS1000 D-Box Brd</t>
  </si>
  <si>
    <t>GIL-T17723-G2 - Adv MN Reg Brd</t>
  </si>
  <si>
    <t>GIL-T17773-03 - GRADE SELECT BRACKET</t>
  </si>
  <si>
    <t>GIL-T17774-03 - 36" PPU LENS FRAME</t>
  </si>
  <si>
    <t>GIL-T17786-G1 - ISOLATION RELAY BRD</t>
  </si>
  <si>
    <t>GIL-T17840-G2 - Crind Regulator Brd</t>
  </si>
  <si>
    <t>GIL-T17909 - VAPOR VALVE</t>
  </si>
  <si>
    <t>GIL-T17931-G2 - VAP REC CABLE ASSY</t>
  </si>
  <si>
    <t>GIL-T17942 - VAP VAC Pump (Lower)</t>
  </si>
  <si>
    <t>GIL-T17952-G1 - POWER SUPPLY</t>
  </si>
  <si>
    <t>GIL-T17955-G1 - PANEL 1H BLNK HOSE RT END 2332</t>
  </si>
  <si>
    <t>GIL-T17962-G1 - Adv Main Display</t>
  </si>
  <si>
    <t>GIL-T17962-G2 - OPT ADV MN DISPLAY</t>
  </si>
  <si>
    <t>GIL-T18015-G1 - Valve Driver BD V/V</t>
  </si>
  <si>
    <t>GIL-T18018-G1 - Vapor Motor Drive Board</t>
  </si>
  <si>
    <t>GIL-T18024-G2 - Adv Hyd Intrfce V/V</t>
  </si>
  <si>
    <t>GIL-T18156-G1 - Blnd Hyd Contrl Brd</t>
  </si>
  <si>
    <t>GIL-T18186-G1 - VAPOR CABLE</t>
  </si>
  <si>
    <t>GIL-T18188-G5 - Crind Printer Assy</t>
  </si>
  <si>
    <t>GIL-T18188-G6 - Crind Printer Assy</t>
  </si>
  <si>
    <t>GIL-T18202-G4 - Adv Pump Contrlr Brd</t>
  </si>
  <si>
    <t>GIL-T18350-G1 - HILINE PULSER</t>
  </si>
  <si>
    <t>GIL-T18350-G3 - Advantage Pulser</t>
  </si>
  <si>
    <t>GIL-T18350-G4 - Adv Pulser Optimized/M04011B00</t>
  </si>
  <si>
    <t>GIL-T18350-G6 - ENCORE 500 PULSER</t>
  </si>
  <si>
    <t>GIL-T18400-10 - Adv Handle Outer</t>
  </si>
  <si>
    <t>GIL-T18600-01 - 48" BLACK TOP COVER</t>
  </si>
  <si>
    <t>GIL-T18651-G1 - CLEAR LENS MAIN DISPLAY</t>
  </si>
  <si>
    <t>GIL-T18699-G1 - Adv. Single PPU</t>
  </si>
  <si>
    <t>GIL-T18699-G2 - Adv. PPU Single Level</t>
  </si>
  <si>
    <t>GIL-T18708-G1 - BACKLIGHT REG BRD ADV</t>
  </si>
  <si>
    <t>GIL-T18724-01A - KEYPAD</t>
  </si>
  <si>
    <t>GIL-T18781-G112 - EXXON CRIND DECAL</t>
  </si>
  <si>
    <t>GIL-T18783 - OPT ADV MN DISPLAY</t>
  </si>
  <si>
    <t>GIL-T18815 - PROPORTIONAL BLEND VALVE</t>
  </si>
  <si>
    <t>GIL-T18835-G1 - Adv Terms Of Sale</t>
  </si>
  <si>
    <t>GIL-T18994-G1 - PUMP HYD INTERFACE</t>
  </si>
  <si>
    <t>GIL-T19301-G1 - IS BARRIER ASSY</t>
  </si>
  <si>
    <t>GIL-T19370-13 - Adv Membrane Switch</t>
  </si>
  <si>
    <t>GIL-T19401-G2 - Control Board V/Vac</t>
  </si>
  <si>
    <t>GIL-T19501-G2 - Monochrome CPU Board</t>
  </si>
  <si>
    <t>GIL-T19547-G1 - ENCORE DBOX BRD</t>
  </si>
  <si>
    <t>GIL-T19569-10 - CRIND KEYPAD</t>
  </si>
  <si>
    <t>GIL-T19684-03 - Membrane Switch</t>
  </si>
  <si>
    <t>GIL-T19760-10 - Adv MPD Keypad</t>
  </si>
  <si>
    <t>GIL-T19793-G1 - GIL CABLE ASSY</t>
  </si>
  <si>
    <t>GIL-T19976-G3 - C+ Meter</t>
  </si>
  <si>
    <t>GIL-T19976-V10S - METER ASSY</t>
  </si>
  <si>
    <t>GIL-T20005-G4 - Adv Pump Cntrl Brd</t>
  </si>
  <si>
    <t>GIL-T20013-G1 - DIGITAL VALE 2 STEM</t>
  </si>
  <si>
    <t>GIL-T20076-G1 - Adv Hyd Interface</t>
  </si>
  <si>
    <t>GIL-T20076-G3 - Opt Adv Hyd Intrface</t>
  </si>
  <si>
    <t>GIL-T20092-G1 - PUMP CONTROL ASSY</t>
  </si>
  <si>
    <t>GIL-T20306-G1 - CRIND REG BRD</t>
  </si>
  <si>
    <t>GIL-T20347-G1 - BLEND BUTTON BRAK</t>
  </si>
  <si>
    <t>GIL-T20379-G4 - CRIND DISPLAY BOARD</t>
  </si>
  <si>
    <t>GIL-T20414-G1 - Crind Printer Assembly</t>
  </si>
  <si>
    <t>GIL-T50038-1147 - WAWA MON KEYPAD OVERLAY</t>
  </si>
  <si>
    <t>GIL-T50064-01 - SUNOCO OVERLAY</t>
  </si>
  <si>
    <t>GIL-T50064-1091 - Adv MPD Debit Overlay</t>
  </si>
  <si>
    <t>GIL-T50064-1093 - SHELL CRIND OVERLAY</t>
  </si>
  <si>
    <t>GIL-T50115-G7 - Opt Terms of Sale</t>
  </si>
  <si>
    <t>GIL-T50178G017 - ADV LEFT OPT PNL EPP OVERLAY</t>
  </si>
  <si>
    <t>GIL-T50178G020 - EPP OVERLAY</t>
  </si>
  <si>
    <t>GIL-T50180G001 - ADV MONO SOFTKY WAWA</t>
  </si>
  <si>
    <t>GIL-T50180G002 - ADV MONO SOFT OVRLY</t>
  </si>
  <si>
    <t>GIL-T50185-G005 - EPP ADA SFTKEY OVERLAY</t>
  </si>
  <si>
    <t>GIL-TEST - TEST FIFO SYSTEM</t>
  </si>
  <si>
    <t>GIL-W02468-G4 - MAIN AC CABLE</t>
  </si>
  <si>
    <t>GIL-W02472-G411 - UNLIGHTED BLACK COKE DOOR</t>
  </si>
  <si>
    <t>GIL-W02474-G331 - REFRIGERATOR DOOR</t>
  </si>
  <si>
    <t>GIL-W02474-G361 - 5 GRADE REF DOOR</t>
  </si>
  <si>
    <t>GIL-W02755-G191 - WAWA SPEC DOOR</t>
  </si>
  <si>
    <t>GIL-W02871-03 - STAINLESS STEAL SIDE SHEATHING</t>
  </si>
  <si>
    <t>GIL-W02872-354 - BLNDR WF 3+0 WAWA</t>
  </si>
  <si>
    <t>GIL-W02873-294 - 3 GRADE DECAL FOR B78</t>
  </si>
  <si>
    <t>GIL-W02950-74 - WAWA DECAL</t>
  </si>
  <si>
    <t>GIL-W02959-G392 - SHELL V-POWER LOWER DOOR</t>
  </si>
  <si>
    <t>GIL-W03690-G4 - DOOR CABLE ASSY</t>
  </si>
  <si>
    <t>GIL-WO1510-G1 - Dual Front Display</t>
  </si>
  <si>
    <t>GIL-WO1513-G1 - Hiline Reg. Board</t>
  </si>
  <si>
    <t>GIL-WO1520-G1 - Hiline Logic Brd</t>
  </si>
  <si>
    <t>GIL-WO1815-G1 - MPD 1/A3 Reg Board</t>
  </si>
  <si>
    <t>GIL-WO1854-G7 - Hiline Regulator Brd</t>
  </si>
  <si>
    <t>GIL-WO2061-G1 - Hiline/SLSMAKR Logic</t>
  </si>
  <si>
    <t>GIL-WO2107-G1 - Crindhead MN Display</t>
  </si>
  <si>
    <t>GIL-WO2107-G2 - Crindhead MN Display</t>
  </si>
  <si>
    <t>GIL-WO3410-G2 - Cable K-Pad to Logic</t>
  </si>
  <si>
    <t>GIL-WO3573-01 - WIDE BASE FRAME 48"</t>
  </si>
  <si>
    <t>GIL-WO3715-G2 - ADVANTAGE MAIN INTER CABLE</t>
  </si>
  <si>
    <t>GIL-WO3879-G1 - NOZZLE CRADLE</t>
  </si>
  <si>
    <t>GRD-012030-626-0 - FITTING</t>
  </si>
  <si>
    <t>GRD-0299-000-0 - AO SMITH GLUE</t>
  </si>
  <si>
    <t>GRD-031-136-1 - 4" GASKET</t>
  </si>
  <si>
    <t>GRD-079-425-1 - 30 AMP RELAY</t>
  </si>
  <si>
    <t>GRD0-OPW-202310 - TEST ADAPTER</t>
  </si>
  <si>
    <t>GRD-1 DK2100 - OPW Drain Valve</t>
  </si>
  <si>
    <t>GRD-1002L-40 - 4IN Pipe Extension</t>
  </si>
  <si>
    <t>GRD-1002S-40 - Pipe Extension 4IN</t>
  </si>
  <si>
    <t>GRD-100-708 - 2" T-100 SYS 4 VALVE</t>
  </si>
  <si>
    <t>GRD-1032FUELINHIB - FUEL INHIBITOR</t>
  </si>
  <si>
    <t>GRD-104A-0800 - 8" MANHOLE</t>
  </si>
  <si>
    <t>GRD-104A-1200 - 12" MANHOLE WITH LID OPW</t>
  </si>
  <si>
    <t>GRD-104A-1800 - 18" MANHOLE LID</t>
  </si>
  <si>
    <t>GRD-104A-1800WT - 18" MANHOLE LID</t>
  </si>
  <si>
    <t>GRD-104A-1819WT - 18" MANHOLE</t>
  </si>
  <si>
    <t>GRD-104AOW-18 - 18" MONITORING WELL MANHOLE</t>
  </si>
  <si>
    <t>GRD-106N-1100 - #1 ID MARKER</t>
  </si>
  <si>
    <t>GRD-106N-2200 - #2 ID MARKER</t>
  </si>
  <si>
    <t>GRD-106N-3300 - #3 ID MARKER</t>
  </si>
  <si>
    <t>GRD-106N-4400 - #4 CONCRETE ID MARKER</t>
  </si>
  <si>
    <t>GRD-106N-5500 - #5 ID MARKER CONCRETE</t>
  </si>
  <si>
    <t>GRD-106P-0150 - PUL ID MARKER</t>
  </si>
  <si>
    <t>GRD-106U-0125 - UNLEADED ID MARKER</t>
  </si>
  <si>
    <t>GRD-10RPLUS-0152 - 10 PLUS DP SHEAR VALVE</t>
  </si>
  <si>
    <t>GRD-1102-069-1 - AO SMITH 2" PIPING</t>
  </si>
  <si>
    <t>GRD-116-7085 - 4" THREAD PIP CAP DURATUFF</t>
  </si>
  <si>
    <t>GRD-12 GUAGE WIRE - 12 GUAGE WIRE</t>
  </si>
  <si>
    <t>GRD-1202-101-8 - AO SMITH COUPLING</t>
  </si>
  <si>
    <t>GRD-1202-231-4 - AO SMITH 2" BUSHING</t>
  </si>
  <si>
    <t>GRD-1202-360-4 - AO SMITH 90</t>
  </si>
  <si>
    <t>GRD-12PLS-14 - PCI GASKET</t>
  </si>
  <si>
    <t>GRD-12PLS-2 - 12 POINT LOCK COVER</t>
  </si>
  <si>
    <t>GRD-13870-01 - VERIPHONE CABLE</t>
  </si>
  <si>
    <t>GRD-15-0480 - CURVED PUMP TOPPERS</t>
  </si>
  <si>
    <t>GRD-1646-001-8801 - EPC4 WEPRY 16GB 2GB RAM MODEM</t>
  </si>
  <si>
    <t>GRD-1646-0129-8801U - MX915 RAIDIANT LOAD PINPAD</t>
  </si>
  <si>
    <t>GRD-168005 - Controller Cable</t>
  </si>
  <si>
    <t>GRD-168006 - Crind Cable</t>
  </si>
  <si>
    <t>GRD-180WT-LID - FAIRFIELD LID</t>
  </si>
  <si>
    <t>GRD-188-241-5 - Syphon Check Valve</t>
  </si>
  <si>
    <t>GRD-1943-2533 - UNIV RETROFIT LID</t>
  </si>
  <si>
    <t>GRD-1DP-2100 - PLUG KIT</t>
  </si>
  <si>
    <t>GRD-200143 - OPW SHEAR VAVLE</t>
  </si>
  <si>
    <t>GRD-200262 - LID RING BOLT DOWN KIT</t>
  </si>
  <si>
    <t>GRD-201648 - DROP TUBE ASSY BOX</t>
  </si>
  <si>
    <t>GRD-201689 - GASKET FOR IC-311 BUCKET</t>
  </si>
  <si>
    <t>GRD-201692 - ORING</t>
  </si>
  <si>
    <t>GRD-201971 - VISIGUAGE</t>
  </si>
  <si>
    <t>GRD-201972 - LARGE VISIGAUGE ORING</t>
  </si>
  <si>
    <t>GRD-202013 - SMALL VISIGAGUE ORING</t>
  </si>
  <si>
    <t>GRD-202135-KIT - EDGE REPAIR KIT</t>
  </si>
  <si>
    <t>GRD-202136-KIT - 5 GAL BUCKET WITH PLUG</t>
  </si>
  <si>
    <t>GRD-203269 - SENSOR</t>
  </si>
  <si>
    <t>GRD-203325 - 32" XERXIES GASKET</t>
  </si>
  <si>
    <t>GRD-203327 - XERXES SUMP LID 26IN</t>
  </si>
  <si>
    <t>GRD-204645 - XERXIES 30" GASKET</t>
  </si>
  <si>
    <t>GRD-206017 - SENSOR ADAPTOR</t>
  </si>
  <si>
    <t>GRD-206110 - XERXIE LID COVER 30"</t>
  </si>
  <si>
    <t>GRD-206119 - 104A-1200WT LID</t>
  </si>
  <si>
    <t>GRD-207589 - LOCKING LEVER 26"</t>
  </si>
  <si>
    <t>GRD-207590 - XERXIE RING 30"</t>
  </si>
  <si>
    <t>GRD-211062 - SHORT GAUGE ADAPTER</t>
  </si>
  <si>
    <t>GRD-211465 - VISIGAUGE FLOAT SHORT</t>
  </si>
  <si>
    <t>GRD-22370202 - AM 2" PRI BXM NPT FITTING</t>
  </si>
  <si>
    <t>GRD-22464386 - AM LCX 2" PIPE- 20'</t>
  </si>
  <si>
    <t>GRD-22469201 - 2" AMERON LCX ELBOW 90</t>
  </si>
  <si>
    <t>GRD-22482736 - AM 2" RUB TERM 35 PSI</t>
  </si>
  <si>
    <t>GRD-22854386 - AMERON FIBERGLASS PIPE</t>
  </si>
  <si>
    <t>GRD-22E5120 - GASKET CS</t>
  </si>
  <si>
    <t>GRD-2334420 - 4X2 EXTRACTOR FITTING W/O CGE</t>
  </si>
  <si>
    <t>GRD-244-006-5 - R J Transducer Elec.(Red)</t>
  </si>
  <si>
    <t>GRD-296114928AB - EMV PIN PAD CABLE</t>
  </si>
  <si>
    <t>GRD-2S-14 - 14Ft Tank Stick</t>
  </si>
  <si>
    <t>GRD-303-1515 - 1.5" OFF SET</t>
  </si>
  <si>
    <t>GRD-303-1520 - 2" OFF SET</t>
  </si>
  <si>
    <t>GRD-303-1525 - 2.5" OFF SET</t>
  </si>
  <si>
    <t>GRD-305XPA-1200AK - 4" MONITORING CAP AND ADAPTER</t>
  </si>
  <si>
    <t>GRD-318L-3812ACC - 38" MORRISON MANHOLE LID</t>
  </si>
  <si>
    <t>GRD-323-001-5 - RJ Functional EL Adj</t>
  </si>
  <si>
    <t>GRD-34KPACK - TRI SEAL SLIP ON PACK</t>
  </si>
  <si>
    <t>GRD-361C - FAIRFIELD 3/8 X 36" MANHOLE LI</t>
  </si>
  <si>
    <t>GRD-400249001 - RETAINING RING</t>
  </si>
  <si>
    <t>GRD-401320901 - STP-MLD-HCD LEAK DETECTOR</t>
  </si>
  <si>
    <t>GRD-401320902 - STP-MLD-HCD LEAK DETECTOR</t>
  </si>
  <si>
    <t>GRD-410152-001 - CK VALVE ORING KIT</t>
  </si>
  <si>
    <t>GRD-410154-001 - ORING KIT SUMB PUMP</t>
  </si>
  <si>
    <t>GRD-410-468-001 - MAGNETIC STARTER</t>
  </si>
  <si>
    <t>GRD-410484-001 - RJ SCREW KIT</t>
  </si>
  <si>
    <t>GRD-410-649-008 - K60 HEATHER</t>
  </si>
  <si>
    <t>GRD-43501901 - OKI DRUM FOR TONER</t>
  </si>
  <si>
    <t>GRD-43502001 - OKI TONER</t>
  </si>
  <si>
    <t>GRD-436ZB - ZIPPER BOOT</t>
  </si>
  <si>
    <t>GRD-4-4972-S40 - 48" X 72" BALLARD</t>
  </si>
  <si>
    <t>GRD-494350N - REPAIR KIT-PRIM BELLOWS</t>
  </si>
  <si>
    <t>GRD-494467 - REPAIR KIT- PRIM RING</t>
  </si>
  <si>
    <t>GRD-494551N - PUSH/PULL DRAIN ASSY</t>
  </si>
  <si>
    <t>GRD-494697 - DRAIN PLUG</t>
  </si>
  <si>
    <t>GRD-5000380 - SOLENOID VALVE</t>
  </si>
  <si>
    <t>GRD-521KR-1260 - SHEAR VALVE ANCHOR</t>
  </si>
  <si>
    <t>GRD-521KR-1280 - SHEAR VAVLE ANCHOR</t>
  </si>
  <si>
    <t>GRD-521KR-8012 - SHEAR VALVE ANCHOR</t>
  </si>
  <si>
    <t>GRD-523-SA-1002 - 2" SLIP ON ADAPTOR</t>
  </si>
  <si>
    <t>GRD-56000201 - POS CONNECTION SET</t>
  </si>
  <si>
    <t>GRD-563980 - EMW MONITOR WELL LID</t>
  </si>
  <si>
    <t>GRD-569576X - DRAIN ADAPTER</t>
  </si>
  <si>
    <t>GRD-570012 - EMCO LID GASET</t>
  </si>
  <si>
    <t>GRD-570069 - BELLOW SEAL</t>
  </si>
  <si>
    <t>GRD-5800300100 - STP-DHI-120V</t>
  </si>
  <si>
    <t>GRD-5AFY4 - E-STOP COVER &amp; BOX</t>
  </si>
  <si>
    <t>GRD-602026001 - FOAM FILTER</t>
  </si>
  <si>
    <t>GRD-602330901 - BRACKET ASSBLY FOR RISER ADAPT</t>
  </si>
  <si>
    <t>GRD-602331001 - PHIL TITE LATCH</t>
  </si>
  <si>
    <t>GRD-60VSPC-1001 - VAPOR SAVER</t>
  </si>
  <si>
    <t>GRD-6102-EC01 - HIGH HOSE RETRACTOR</t>
  </si>
  <si>
    <t>GRD-6110-3710 - OPW MANHOLE</t>
  </si>
  <si>
    <t>GRD-6110-4200 - 42" MANHOLE &amp; LID</t>
  </si>
  <si>
    <t>GRD-61JSK-4410 - COMPOSITE JACK SCREW KIT</t>
  </si>
  <si>
    <t>GRD-61JSK-44CB - JACK SCREW KIT</t>
  </si>
  <si>
    <t>GRD-61SOP-4002 - COAX DROP TUBE</t>
  </si>
  <si>
    <t>GRD-61VSA-1020-EVR - 4" BRONE VAPOR SWIVEL ADAPT</t>
  </si>
  <si>
    <t>GRD-65-1212 - 12" MONT LID</t>
  </si>
  <si>
    <t>GRD-654632 - CISCO RV042 ROUTER</t>
  </si>
  <si>
    <t>GRD-65TE-12-B1 - MONITORING WELL LID</t>
  </si>
  <si>
    <t>GRD-7000227 - 1/16" CABLE ZINC</t>
  </si>
  <si>
    <t>GRD-705-255 - EBW DRAIN</t>
  </si>
  <si>
    <t>GRD-705-334-01 - EBW GASKET</t>
  </si>
  <si>
    <t>GRD-70540001BLK - EBW SLIP ON BUCKET</t>
  </si>
  <si>
    <t>GRD-705-423-02 - EBW LID WAWA</t>
  </si>
  <si>
    <t>GRD-70551001 - INSPECTION PORT SENSOR</t>
  </si>
  <si>
    <t>GRD-708590903 - DEFENDER VLAVE</t>
  </si>
  <si>
    <t>GRD-708590930 - DEFENDER VLAVE</t>
  </si>
  <si>
    <t>GRD-70859201 - WA DEF DROP TUBE</t>
  </si>
  <si>
    <t>GRD-708592902 - FRANKLIN FUEL DROP TUBE</t>
  </si>
  <si>
    <t>GRD-77210201 - 4" MON WELL CAP</t>
  </si>
  <si>
    <t>GRD-77210901 - 6"MONITORING WELL CAP</t>
  </si>
  <si>
    <t>GRD-781-304-01 - 19" WAWA LID EBW</t>
  </si>
  <si>
    <t>GRD-781-441-06 - SAFE LITE LID 44"</t>
  </si>
  <si>
    <t>GRD-781-445-06 - SAFELITE LID 43"</t>
  </si>
  <si>
    <t>GRD-781-456-06 - 36" REPLACEMENT COVER</t>
  </si>
  <si>
    <t>GRD-793160 - WASHER BUCKET BRACKETS</t>
  </si>
  <si>
    <t>GRD-818-303-01 - 18" GASKET FOR EBW LID</t>
  </si>
  <si>
    <t>GRD-818-307-01 - EBW LID</t>
  </si>
  <si>
    <t>GRD-818-404-001 - PHIL TITE BOLT DOWN</t>
  </si>
  <si>
    <t>GRD-85031-1 - RING FOR PHIL TITE BUCKET</t>
  </si>
  <si>
    <t>GRD-85400 - PHIL TITE DRAIN</t>
  </si>
  <si>
    <t>GRD-856194-001 - VSFC KIT</t>
  </si>
  <si>
    <t>GRD-880-051-1 - RJ CONTROLD BOX</t>
  </si>
  <si>
    <t>GRD-A0060-023 - EMCO SHEAR VALVE</t>
  </si>
  <si>
    <t>GRD-A0081-001H - REPLACEMENT WRENCH TOOL</t>
  </si>
  <si>
    <t>GRD-A1004-210S - EMCO DOUBLE WALL</t>
  </si>
  <si>
    <t>GRD-A7901-306k - EMCO RISER</t>
  </si>
  <si>
    <t>GRD-AC8007 - FIBERGLASS RESIGN KIT</t>
  </si>
  <si>
    <t>GRD-AM-20200400 - 2IN CHEM CURE PAKS</t>
  </si>
  <si>
    <t>GRD-AM-20350203 - 2IN PRIMARY BXF NPT FITTING</t>
  </si>
  <si>
    <t>GRD-AM-20350206 - 2IN PRIMARY SXM NPT FITTING</t>
  </si>
  <si>
    <t>GRD-AM-20370202 - 2IN PRIMARY BXM NPT FITTING</t>
  </si>
  <si>
    <t>GRD-AM-20370802 - 2IN PRIMARY REPAIR COUPLING</t>
  </si>
  <si>
    <t>GRD-AM-20371508 - 2IN PRIMARY 45 ELBOW</t>
  </si>
  <si>
    <t>GRD-AM-20372108 - 2IN PRIMARY 90 ELBOW</t>
  </si>
  <si>
    <t>GRD-AM-20378007 - 2IN PRIMARY TEE</t>
  </si>
  <si>
    <t>GRD-AM-208354386 - 2IN PRIMARY PIPE SXS</t>
  </si>
  <si>
    <t>GRD-AM-20850707 - 2IN PRIMARY SLEEVE COUPLING</t>
  </si>
  <si>
    <t>GRD-AM-30370703 - 3IN 2PC. CONT. SLEEVE COUPLING</t>
  </si>
  <si>
    <t>GRD-AM-30378007 - 3IN PRIMARY TEE</t>
  </si>
  <si>
    <t>GRD-AM-308354381 - 3IN CONTAINMENT PIPE</t>
  </si>
  <si>
    <t>GRD-AM-30850707 - 3IN PRIMARY SLEEVE COUPLING</t>
  </si>
  <si>
    <t>GRD-AM-32370504 - 3X2 PRIMARY REDUCER BUSHING</t>
  </si>
  <si>
    <t>GRD-AM-502101025 - 6 PK. PSX-20 ADHESIVE</t>
  </si>
  <si>
    <t>GRD-AM-CAP-2 - AMERON 2" CAP</t>
  </si>
  <si>
    <t>GRD-AV-202 - AVANTI GROUT</t>
  </si>
  <si>
    <t>GRD-AXP40-100 - EV 4" LINED ACCESS PIPE</t>
  </si>
  <si>
    <t>GRD-BIOCIDE6000 - BIOCIDE TREATMENT</t>
  </si>
  <si>
    <t>GRD-C05170M - SPILL BUCKET GASKET</t>
  </si>
  <si>
    <t>GRD-C15-250 - PI 1.5" DW PRIMARY PIPE 250</t>
  </si>
  <si>
    <t>GRD-CAT100BLUE - 100' CAT CABLE BLUE</t>
  </si>
  <si>
    <t>GRD-CAT100RED - 100' RED CAT CABLE</t>
  </si>
  <si>
    <t>GRD-CAT25BLUE - CAT CABLE 25'</t>
  </si>
  <si>
    <t>GRD-CAT25RED - 25' RED CAT CABLE</t>
  </si>
  <si>
    <t>GRD-CAT50BLUE - CAT CABLE 50' BLUE</t>
  </si>
  <si>
    <t>GRD-CAT50RED - 50' CAT CABLE RED</t>
  </si>
  <si>
    <t>GRD-CAT5e - 25' ETHERNET CABLE</t>
  </si>
  <si>
    <t>GRD-CB191 - 191 3/4" 3PC COUP</t>
  </si>
  <si>
    <t>GRD-CBEYS2 - 3/4 FEM COND SEAL</t>
  </si>
  <si>
    <t>GRD-CBEYS21 - 3/4 FEM COND SEAL</t>
  </si>
  <si>
    <t>GRD-CBLBY25 - 3/4 90 DEGREE</t>
  </si>
  <si>
    <t>GRD-CBOELB2 - 3/4 OELB COND BODY &amp; COVR</t>
  </si>
  <si>
    <t>GRD-CBUNF205 - 3/4 FEM UNION</t>
  </si>
  <si>
    <t>GRD-CEF-1515 - COAX ELBOW FITTING</t>
  </si>
  <si>
    <t>GRD-CEF-2020 - EV 2" COAXIAL ELBOW FITTING</t>
  </si>
  <si>
    <t>GRD-COK-0015 - OPW COAXIAL FITTING ORINGS</t>
  </si>
  <si>
    <t>GRD-CPA-1520 - 1.5" PIPE ADAPTORS COAX</t>
  </si>
  <si>
    <t>GRD-CPA-2020 - EV 2"X 2" COAXIAL PIPE ADAPTER</t>
  </si>
  <si>
    <t>GRD-CPC-1502 - 1.5" REPAIR COUPLING COAX</t>
  </si>
  <si>
    <t>GRD-CPC-1502R - 1.5" REPAIR COUPLING COAX</t>
  </si>
  <si>
    <t>GRD-CRA-1515 - 1.5" RISER PIP ADAPT COAX</t>
  </si>
  <si>
    <t>GRD-CTF-1515 - 1.5" TEE FITTING COAX</t>
  </si>
  <si>
    <t>GRD-CT-XL - 7-11 SPEC PUMP TOPPER</t>
  </si>
  <si>
    <t>GRD-D00173M - 104 13" OPW LID</t>
  </si>
  <si>
    <t>GRD-D02238 - OPW LID</t>
  </si>
  <si>
    <t>GRD-D02508 - INLET TUBE FOR OPW DROP TUBE</t>
  </si>
  <si>
    <t>GRD-D02575M - 5 GAL SHROUD BOOT</t>
  </si>
  <si>
    <t>GRD-DBBV - ADHESIVE BONDER</t>
  </si>
  <si>
    <t>GRD-DBF - FILL BULKHEAD MIXER</t>
  </si>
  <si>
    <t>GRD-DEB-0150 - EV 1.5"X1.5" DOUBLE ENTRY BOOT</t>
  </si>
  <si>
    <t>GRD-DEB-0200 - EV 2" X 2" DOUBLE ENTRY BOOT</t>
  </si>
  <si>
    <t>GRD-DEB-0200X - EV 2" X 2" DOUBLE LCSX ENTRY B</t>
  </si>
  <si>
    <t>GRD-DEB-0400 - 4" DOUBLE ENTRY BOOT</t>
  </si>
  <si>
    <t>GRD-DEB-0751 - EB DOUBLE ENTRY BOOT</t>
  </si>
  <si>
    <t>GRD-DL40Z6PK - DRY LUBE</t>
  </si>
  <si>
    <t>GRD-DOT - 17H 55 Gal DOT Drum</t>
  </si>
  <si>
    <t>GRD-DOTOT - OPEN TOP DOT BARREL</t>
  </si>
  <si>
    <t>GRD-DS-9208 - VERIFONE SCANNER</t>
  </si>
  <si>
    <t>GRD-E00299M - OPW LID</t>
  </si>
  <si>
    <t>GRD-E00508M - 8" MANHOLE LID</t>
  </si>
  <si>
    <t>GRD-E00510M - 104A 12" MANHOLD LID</t>
  </si>
  <si>
    <t>GRD-E00512M - 104A 18" OPW LID</t>
  </si>
  <si>
    <t>GRD-E00516I - 18" MONT WELL LID</t>
  </si>
  <si>
    <t>GRD-E00618 - CONQUISTADOR LID 39"</t>
  </si>
  <si>
    <t>GRD-E00622 - POMECO BOLT DOWN LID</t>
  </si>
  <si>
    <t>GRD-E00626 - POMECO MANHOLE LID</t>
  </si>
  <si>
    <t>GRD-E00630 - POMECO BOLT DOWN LID</t>
  </si>
  <si>
    <t>GRD-EBW300-210-01 - EBW 4IN Vapor Adaptor</t>
  </si>
  <si>
    <t>GRD-ECP4 - ECP4</t>
  </si>
  <si>
    <t>GRD-EMCO 493806 - EMCO WH Slimline Lid</t>
  </si>
  <si>
    <t>GRD-EMCO 566332 - EMCO WH Fatboy Lid</t>
  </si>
  <si>
    <t>GRD-ET11 - PERMEATOR OIL</t>
  </si>
  <si>
    <t>GRD-EW493123 - EW Domed Lid W/Seal</t>
  </si>
  <si>
    <t>GRD-EW493508 - Push/Pull Drain Assy</t>
  </si>
  <si>
    <t>GRD-EW494350 - EMCO INNER BUCKET</t>
  </si>
  <si>
    <t>GRD-EWA0078-008 - BALL FLOAT W/EXTRACTOR</t>
  </si>
  <si>
    <t>GRD-EWA0333-003 - EMCO HAND PUMP</t>
  </si>
  <si>
    <t>GRD-EWA567166 - EMCO HANDLE LID GASKET</t>
  </si>
  <si>
    <t>GRD-EWA89-001 - EMCO Coax Fill Adapt</t>
  </si>
  <si>
    <t>GRD-FC-10/SEAL - FIBERLITE SEAL</t>
  </si>
  <si>
    <t>GRD-FC-10/YELLOW - 10" YELLOW FILL COVER</t>
  </si>
  <si>
    <t>GRD-FC-10-RED - FIBERLITE LID 10"</t>
  </si>
  <si>
    <t>GRD-FC-10-WHITE - FIBERLITE LID 10"</t>
  </si>
  <si>
    <t>GRD-FC-11-RED - RED 11" FILL COVER</t>
  </si>
  <si>
    <t>GRD-FC-11-SEAL - FIBERLITE SEAL</t>
  </si>
  <si>
    <t>GRD-FC-11-WHITE - 11" WHITE FILL LID</t>
  </si>
  <si>
    <t>GRD-FC20-SWM14 - 2" FLEX CONNECTOR MXMS</t>
  </si>
  <si>
    <t>GRD-FE151213930 - FE Petro Lead Assy</t>
  </si>
  <si>
    <t>GRD-FE152350902 - FE PETRO HARDWARE PACK</t>
  </si>
  <si>
    <t>GRD-FE400137937 - FE SYPHON CHECK VALVE</t>
  </si>
  <si>
    <t>GRD-FE400172901 - FE Petro Connector</t>
  </si>
  <si>
    <t>GRD-FE400172930 - FE PETRO</t>
  </si>
  <si>
    <t>GRD-FE400174930 - CHECK VALVE SPRING</t>
  </si>
  <si>
    <t>GRD-FE400197930 - FE PETRO PUMP COVER</t>
  </si>
  <si>
    <t>GRD-FE400200930 - F.E. Wire Connector Assy</t>
  </si>
  <si>
    <t>GRD-FE400210-212 - F.E. Petro O-Ring</t>
  </si>
  <si>
    <t>GRD-FE400211-238 - F.E. Petro O-Ring</t>
  </si>
  <si>
    <t>GRD-FE-400-211-340 - FE PETRO PUMP HEAD ORING</t>
  </si>
  <si>
    <t>GRD-FE-400-211-343 - FE PETRO PUMP HEAD ORING</t>
  </si>
  <si>
    <t>GRD-FE400333007N - FE PETRO ORING</t>
  </si>
  <si>
    <t>GRD-FE400333012N - FE PETRO ORING</t>
  </si>
  <si>
    <t>GRD-FE400333238 - FE PETRO ORING</t>
  </si>
  <si>
    <t>GRD-FE400333340 - FE PETRO ORING</t>
  </si>
  <si>
    <t>GRD-FE400333343 - FE PETRO ORING</t>
  </si>
  <si>
    <t>GRD-FE400562901 - FE PETRO SYP JET ASMBY</t>
  </si>
  <si>
    <t>GRD-FE-400589930 - 2 1/2IN VS2 PUMP HD PLUG</t>
  </si>
  <si>
    <t>GRD-FE400616001N - FE PETRO RELIEF PLUG</t>
  </si>
  <si>
    <t>GRD-FE400988931 - FE PETRO CK VALVE</t>
  </si>
  <si>
    <t>GRD-FE400988-932 - FE Petro Check Valve</t>
  </si>
  <si>
    <t>GRD-FE-VFC - Vari. Freq. Controller</t>
  </si>
  <si>
    <t>GRD-FG-SEAM-KIT - FIBERGLASS SEAM KIT</t>
  </si>
  <si>
    <t>GRD-FI39X2.0 - 39X2.0</t>
  </si>
  <si>
    <t>GRD-FL100-SEAL - 42" FIBERLITE SEAL</t>
  </si>
  <si>
    <t>GRD-FL-42/SK12 - 12" FIBERGLASS SKIRT</t>
  </si>
  <si>
    <t>GRD-FL-42/SK18 - 18" SKIRT</t>
  </si>
  <si>
    <t>GRD-FL-42-BKN - 42" BLACK FIBERLITE LID</t>
  </si>
  <si>
    <t>GRD-FL42BLACK-HD - FIBERLITE HEAVY DUTY</t>
  </si>
  <si>
    <t>GRD-FL-42-FRAME - FL 42" FRAME OR RING</t>
  </si>
  <si>
    <t>GRD-FL-42-LID/BK - FIBERLITE LID</t>
  </si>
  <si>
    <t>GRD-FLEX-SEAL - FLEX SEAL</t>
  </si>
  <si>
    <t>GRD-FLEX-SEALN - FLEX SEAL</t>
  </si>
  <si>
    <t>GRD-FL-SK10 - 10" FIBERLITE SKIRT</t>
  </si>
  <si>
    <t>GRD-FMP-DDS - DISC SENSOR</t>
  </si>
  <si>
    <t>GRD-FMP-DTS - DISC SENSOR TURBINE</t>
  </si>
  <si>
    <t>GRD-FMP-HIS-XL - HYDRO INTERSTITIAL SENSOR XL</t>
  </si>
  <si>
    <t>GRD-FSA-400 - FACE SEAL ADAPTOR</t>
  </si>
  <si>
    <t>GRD-FSFS2018 - M XM 2X18" FLEX</t>
  </si>
  <si>
    <t>GRD-FSMS2024 - 2" FLEX HOSE</t>
  </si>
  <si>
    <t>GRD-GRD-APP GRUJ-2P - ROUND J-BOX</t>
  </si>
  <si>
    <t>GRD-GRD-APP LB75-A - LB</t>
  </si>
  <si>
    <t>GRD-GRD-APP UNY75NR - MALE X FEMALE UNION</t>
  </si>
  <si>
    <t>GRD-GRD-APP-ERC - 3/4 SINGLE CONDUIT BOX</t>
  </si>
  <si>
    <t>GRD-GY1X10MXM - 1" X 10' MXM DIESEL HOSE</t>
  </si>
  <si>
    <t>GRD-GY1X8MXMWHIP - 1"X8" WHIP</t>
  </si>
  <si>
    <t>GRD-GY3/4X16MXM - 3/4"X16' HOSE</t>
  </si>
  <si>
    <t>GRD-H-08932 - CAGE (BALL FLOAT)</t>
  </si>
  <si>
    <t>GRD-H09039M - OPW GASKET</t>
  </si>
  <si>
    <t>GRD-H11931M - 61S0P ORING GASKET</t>
  </si>
  <si>
    <t>GRD-H12229M - OPW 2100 SERIES GASKET</t>
  </si>
  <si>
    <t>GRD-H13363 - Installation Hardware Kit</t>
  </si>
  <si>
    <t>GRD-H14842 - 71SO HARDWARE</t>
  </si>
  <si>
    <t>GRD-H14858 - OPW CONQUISTADOR GASKET</t>
  </si>
  <si>
    <t>GRD-H15187M - MULTI PORT GASKET</t>
  </si>
  <si>
    <t>GRD-H15240M - 8" MULTIPORT GASKET</t>
  </si>
  <si>
    <t>GRD-HO5995 - OPW Fill Cap Gasket</t>
  </si>
  <si>
    <t>GRD-IAC-FASTFILL - FASTFILL RAPID FILLER</t>
  </si>
  <si>
    <t>GRD-IAC-FFOAM50 - FAST FOAM ICON</t>
  </si>
  <si>
    <t>GRD-IAC-FIBERFUSE - FIBER FUSE</t>
  </si>
  <si>
    <t>GRD-IAC-IBOND50 - STRUCTURAL BONDER</t>
  </si>
  <si>
    <t>GRD-IAC-IBOND50FS - FAST SET BONDER</t>
  </si>
  <si>
    <t>GRD-IAC-IBOND50H20 - UNDERWATER BONDING AGENT</t>
  </si>
  <si>
    <t>GRD-IAC-MGUN200 - POLY FUSE 250 ML GUN</t>
  </si>
  <si>
    <t>GRD-IAC-PFUSE250 - POLY FUSE 250</t>
  </si>
  <si>
    <t>GRD-IAC-PFUSE50 - POLY FUSE 50ML</t>
  </si>
  <si>
    <t>GRD-IAC-PS200 - PETRO SEAL</t>
  </si>
  <si>
    <t>GRD-IAC-WETWELD - WATER BLOCKER</t>
  </si>
  <si>
    <t>GRD-IC-2100D - OPW 2100 SERIES BUCKET</t>
  </si>
  <si>
    <t>GRD-IC-2100P - OPW 2100 BUCKET</t>
  </si>
  <si>
    <t>GRD-IC-3112D - EDGE DOUBLE WALL SPILL CONTAIN</t>
  </si>
  <si>
    <t>GRD-IC-3112P - EDGE DOUBLE WALL BUCKET</t>
  </si>
  <si>
    <t>GRD-IGNPCL - 4XCLOSE GALV STL NIP</t>
  </si>
  <si>
    <t>GRD-IGNPP - 4X4 GALV STL NIP</t>
  </si>
  <si>
    <t>GRD-IGNPU - 4X6 GALV STL NIP</t>
  </si>
  <si>
    <t>GRD-IGNPX - 4X8 GALV STL NIP</t>
  </si>
  <si>
    <t>GRD-IP4000-1 - INSPECTION PORT</t>
  </si>
  <si>
    <t>GRD-IUI4.5XPLUG - 4.5 PLUG</t>
  </si>
  <si>
    <t>GRD-JI-T100-3 - 3IN BALL VALVE</t>
  </si>
  <si>
    <t>GRD-KM5000 - 5 Gallon Pail</t>
  </si>
  <si>
    <t>GRD-LD2000 - Leak Detector LD2000</t>
  </si>
  <si>
    <t>GRD-LD2000/WAR - WARRANTY FREIGHT</t>
  </si>
  <si>
    <t>GRD-LD21-2132 - TUBE FITTING (1ST)</t>
  </si>
  <si>
    <t>GRD-LD21-2133 - TUBE FITTING  (2ND)</t>
  </si>
  <si>
    <t>GRD-LD99-9005 - COPPER TUBE LD2000</t>
  </si>
  <si>
    <t>GRD-LIQUI-CULT - LIQUI CULT</t>
  </si>
  <si>
    <t>GRD-LOCK OUT - LOCK OUT TAG OUT</t>
  </si>
  <si>
    <t>GRD-LRK-CLC - LATCH KIT</t>
  </si>
  <si>
    <t>GRD-M04547A001 - PPU DOOR CABLE LEFT</t>
  </si>
  <si>
    <t>GRD-M177-509-01-R - MX925 COMMANDER EXXON PIN PAD</t>
  </si>
  <si>
    <t>GRD-MPWS-33TS - OPW WATER SHROUD KIT</t>
  </si>
  <si>
    <t>GRD-MPWS-36 - 36" MULTI PORT LID</t>
  </si>
  <si>
    <t>GRD-MR-305L - 4IN Fill Adaptor</t>
  </si>
  <si>
    <t>GRD-NEW-A0081-001C - SWIVEL ADAPTOR TOOL</t>
  </si>
  <si>
    <t>GRD-NITROGEN - NITROGEN BOTTLE</t>
  </si>
  <si>
    <t>GRD-NJI-400-203 - .5 PINT JOMAR PIPE DOPE</t>
  </si>
  <si>
    <t>GRD-NJI-400-204 - 1 PINT JOMAR PIPE DOPE</t>
  </si>
  <si>
    <t>GRD-OPW #1 - CAST SPILL CONT LID</t>
  </si>
  <si>
    <t>GRD-OPW10BFP - FE. Shear Valve 1.5IN</t>
  </si>
  <si>
    <t>GRD-OPW10BUP5926 - 1.5IN UNION SHEAR</t>
  </si>
  <si>
    <t>GRD-OPW10P-0152 - OPW 10+ SHEAR VALVE</t>
  </si>
  <si>
    <t>GRD-OPW10RFT5750 - Fem Shear Top 1 1/2IN</t>
  </si>
  <si>
    <t>GRD-OPW10RFTP5751 - Female D.P. Shear Top</t>
  </si>
  <si>
    <t>GRD-OPW10RMT5850 - Male Shear Top 1 1/2IN</t>
  </si>
  <si>
    <t>GRD-OPW10RUP-2006 - 2" UNION SHEAR VALVE</t>
  </si>
  <si>
    <t>GRD-OPW10RUT5950 - Uniom Shear Top</t>
  </si>
  <si>
    <t>GRD-OPW10RUTC5962 - 2IN UNION REPL TOP</t>
  </si>
  <si>
    <t>GRD-OPW-10RUTC-5962 - 2IN UNION REPL. TOP</t>
  </si>
  <si>
    <t>GRD-OPW1-21AC - OPW Alum Spill Contain Lid</t>
  </si>
  <si>
    <t>GRD-OPW1-3100-TOOL - OPW MANHOLE TOOL</t>
  </si>
  <si>
    <t>GRD-OPW1611AV1620N - 3X4" VAPOR ADAPTOR</t>
  </si>
  <si>
    <t>GRD-OPW1711-7085 - Vapor Recovery Cap</t>
  </si>
  <si>
    <t>GRD-OPW1711LPC-0400 - OPW LOW PROFILE VAP CAP</t>
  </si>
  <si>
    <t>GRD-OPW-203310 - TEST ADAPTER FOR DW SPILL BUCK</t>
  </si>
  <si>
    <t>GRD-OPW523A-1003 - OPW ADAPTOR</t>
  </si>
  <si>
    <t>GRD-OPW60VSP-1001 - OPW VAPOR SHEAR VALVE</t>
  </si>
  <si>
    <t>GRD-OPW61SALP-EVR - LOW PROFILE SWIVEL ADAPTOR</t>
  </si>
  <si>
    <t>GRD-OPW61SOP-4002 - COAXIAL DROP TUBE</t>
  </si>
  <si>
    <t>GRD-OPW61SOP-4012 - OPW COAXIAL DROP TUBE</t>
  </si>
  <si>
    <t>GRD-OPW61T-7468 - 17' STRAIGHT DROP TUBE</t>
  </si>
  <si>
    <t>GRD-OPW-61VSA-EVR - VAPOR SWIVEL ADAPTOR</t>
  </si>
  <si>
    <t>GRD-OPW623V-2203 - 7-11 SPEC OPW VENT CAP</t>
  </si>
  <si>
    <t>GRD-OPW623V-3203 - WAWA SPEC 3" VENT CAP WHITE</t>
  </si>
  <si>
    <t>GRD-OPW633LC-1000 - SS LOCKING RISER CLAMP</t>
  </si>
  <si>
    <t>GRD-OPW633T-8070 - BRASS OPW ADAPT</t>
  </si>
  <si>
    <t>GRD-OPW634LPC-0400 - OPW LOW PROFILE FILL CAP</t>
  </si>
  <si>
    <t>GRD-OPW634TE-7085 - 3IN OPW FILL CAP</t>
  </si>
  <si>
    <t>GRD-OPW634TT-7085 - 4IN Locking Fill Cap</t>
  </si>
  <si>
    <t>GRD-OPW634TT-G - OPW FILL CAP GASKET</t>
  </si>
  <si>
    <t>GRD-OPW71S0-TOOL - OPW DROP TUBE TOOL</t>
  </si>
  <si>
    <t>GRD-OPW71SO-410C - 4" OPW DROP TUBE</t>
  </si>
  <si>
    <t>GRD-OPW71SO-410CW - WARRANTY FREIGHT</t>
  </si>
  <si>
    <t>GRD-OPW-C05117 - OPW BOTTOM OF DROP TUBE</t>
  </si>
  <si>
    <t>GRD-OPW-CSK-0150S - SWEDGE KIT</t>
  </si>
  <si>
    <t>GRD-OPW-CTF1515 - OPW T'S</t>
  </si>
  <si>
    <t>GRD-OPW-DONUT - 4" X 1.5" DONUT</t>
  </si>
  <si>
    <t>GRD-OPW-E00510M - 104A 12" OPW LID</t>
  </si>
  <si>
    <t>GRD-OPWH13214M - TC LID GASKET</t>
  </si>
  <si>
    <t>GRD-OPWH13257M - BOLT DOWN KNOBS</t>
  </si>
  <si>
    <t>GRD-OPWH14842 - OPW 71SO KIT</t>
  </si>
  <si>
    <t>GRD-OPWHO5361 - OPW Fusible Link</t>
  </si>
  <si>
    <t>GRD-OPWHO8145M - OPW DROP TUBE ORING</t>
  </si>
  <si>
    <t>GRD-OPW-MPK-10 - OPW SHEAR VALVE PLATE KIT</t>
  </si>
  <si>
    <t>GRD-OPW-WSP-WTC-OPC - 6" NITRILE OBSERVATION PORT</t>
  </si>
  <si>
    <t>GRD-P110-42G - 42" MANHOLE GASKET</t>
  </si>
  <si>
    <t>GRD-P40-ROTO-LID - OBSERVATION LID</t>
  </si>
  <si>
    <t>GRD-P511-DEVRBUCKET - 5 GALLON OLD STYLE</t>
  </si>
  <si>
    <t>GRD-P511G-KIT - ORING KIT FOR MULTI PORT</t>
  </si>
  <si>
    <t>GRD-P711-EVRDV - 5GAL REPLACEMENT BUCKET</t>
  </si>
  <si>
    <t>GRD-P761C-EVRDV - 5 GAL BUCKET W DRAIN</t>
  </si>
  <si>
    <t>GRD-P761C-EVRPL - 5 GAL BUCKET W PLUG</t>
  </si>
  <si>
    <t>GRD-PAINT - CAN OF PAINT</t>
  </si>
  <si>
    <t>GRD-PEI-4.0XPLUG - 4" TOTAL CONTAINMENT PLUG</t>
  </si>
  <si>
    <t>GRD-PMA-150 - 1-1/2 HP Sump Motor</t>
  </si>
  <si>
    <t>GRD-PMA-75 - 3/4 HP SUMP MOTOR</t>
  </si>
  <si>
    <t>GRD-PMA-VS-2 - 2HP Vari Speed Motor</t>
  </si>
  <si>
    <t>GRD-PROTO-LOCK - BOLT DOWN FOR OBS LID</t>
  </si>
  <si>
    <t>GRD-PT-SC-1513V - U Shaped seal for ductile cast</t>
  </si>
  <si>
    <t>GRD-Q13708-08B - CISCO ROUTER</t>
  </si>
  <si>
    <t>GRD-RJ026-627-1 - PAN SCREWS</t>
  </si>
  <si>
    <t>GRD-RJ072-107-1 - RJ CHECK VALVE O-RING</t>
  </si>
  <si>
    <t>GRD-RJ072-189-1 - RJ Pumphead O-Ring</t>
  </si>
  <si>
    <t>GRD-RJ072-190-1 - RJ Capacitor O-Ring</t>
  </si>
  <si>
    <t>GRD-RJ072-196-1 - RJ Conduit O-Ring</t>
  </si>
  <si>
    <t>GRD-RJ076-085-3 - PET CHECK VALVE</t>
  </si>
  <si>
    <t>GRD-RJ108-496-5 - CONDUIT J-BOX</t>
  </si>
  <si>
    <t>GRD-RJ111-065-4 - CAP &amp; STEM ASSY</t>
  </si>
  <si>
    <t>GRD-RJ111-092-5 - Capicator 17.5</t>
  </si>
  <si>
    <t>GRD-RJ111-661-5 - CAPACITOR 25 MFD</t>
  </si>
  <si>
    <t>GRD-RJ113-084 - RJ CAPACITOR COVER</t>
  </si>
  <si>
    <t>GRD-RJ113-085-5 - 3/4HP CAPACITOR HOUSING</t>
  </si>
  <si>
    <t>GRD-RJ113-105 - CONNECTOR SNAP RING</t>
  </si>
  <si>
    <t>GRD-RJ113-319-5 - 1.5HP CAPACITOR HOUSING</t>
  </si>
  <si>
    <t>GRD-RJ138-049-5 - CHECK VALVE HOLDER</t>
  </si>
  <si>
    <t>GRD-RJ144-090 - R.J. Plug Lead Assy</t>
  </si>
  <si>
    <t>GRD-RJ-144-091-5 - 17' WIRE HARNESS</t>
  </si>
  <si>
    <t>GRD-RJ144-183-5 - R J Check Valve</t>
  </si>
  <si>
    <t>GRD-RJ144-184-5 - CHECK VALVE</t>
  </si>
  <si>
    <t>GRD-RJ144-186-5 - CHECK VALVE REPAIR KIT</t>
  </si>
  <si>
    <t>GRD-RJ144-193-1 - PACKER ORING</t>
  </si>
  <si>
    <t>GRD-RJ172-003-5 - RJ Funct EL O-Ring Kit</t>
  </si>
  <si>
    <t>GRD-RJ188-241-5 - RJ Syphon Check Valve</t>
  </si>
  <si>
    <t>GRD-RJ313-002-5 - Connector Yoke Assy</t>
  </si>
  <si>
    <t>GRD-RK-5000 - FIBERGLASS RESIGN KIT</t>
  </si>
  <si>
    <t>GRD-RTC-BLACK - BLACK OPW LID</t>
  </si>
  <si>
    <t>GRD-RTC-ORANGE - ORANGE OPW SUMP COVER</t>
  </si>
  <si>
    <t>GRD-RTC-RED - RED OPW SUMP LID COVER</t>
  </si>
  <si>
    <t>GRD-RTC-WHITE - WHITE OPW LID</t>
  </si>
  <si>
    <t>GRD-RTR-BLACK - MULTI PORT STUD RING</t>
  </si>
  <si>
    <t>GRD-S/S-LID/RING-37 - STAINLESS STEEL RING</t>
  </si>
  <si>
    <t>GRD-S704-60023FD - PASSPORT V11.04 THUMB DR</t>
  </si>
  <si>
    <t>GRD-S704-60024FD - PASSPORT SOFTWARE USB PX60</t>
  </si>
  <si>
    <t>GRD-SA-SV-5030 - Fusible Link Environ</t>
  </si>
  <si>
    <t>GRD-SA-SV-5040 - Fusible Link Environ</t>
  </si>
  <si>
    <t>GRD-SBK-1500V - STABALIZER BAR</t>
  </si>
  <si>
    <t>GRD-SCM-5WTLP - FAIRFIELD STANDARD BUCKET</t>
  </si>
  <si>
    <t>GRD-SCS-0036-HW - 36" GREEN GASKET</t>
  </si>
  <si>
    <t>GRD-SGP-0150 - PIPE FITTING ORINGS OPW</t>
  </si>
  <si>
    <t>GRD-SGP-0200 - 2" COUPLING GASKET</t>
  </si>
  <si>
    <t>GRD-SIKAFLEX1A - BOSTICKS</t>
  </si>
  <si>
    <t>GRD-SLPK - GASKET AND SEALANT</t>
  </si>
  <si>
    <t>GRD-SMA-2015 - OPW PIPE ADAPTOR</t>
  </si>
  <si>
    <t>GRD-SMA-2020 - OPW PIPE ADAPTOR</t>
  </si>
  <si>
    <t>GRD-SPTB-150 - 1.5" REPAIR BOOT</t>
  </si>
  <si>
    <t>GRD-SR-160 - SAR-GEL</t>
  </si>
  <si>
    <t>GRD-STP-DHI - SUB TURBINE ISO BOX</t>
  </si>
  <si>
    <t>GRD-SUIT - COVERALLS FOR FIBERGLASS</t>
  </si>
  <si>
    <t>GRD-SVD-2015F - Shear Valve Female</t>
  </si>
  <si>
    <t>GRD-SVD-2015M - 1 1/2IN Shear Valve</t>
  </si>
  <si>
    <t>GRD-SVT-2015F - Female Top Environ</t>
  </si>
  <si>
    <t>GRD-SVT-2015M - Shear VLV Top Male</t>
  </si>
  <si>
    <t>GRD-SWF-100-SS - FRANKLIN FUELING ADAPTOR</t>
  </si>
  <si>
    <t>GRD-SWFV-PKGSS - FILL AND VAPOR SWIVEL ADPT SS</t>
  </si>
  <si>
    <t>GRD-SWS-101-SS - PHIL TITE FILL ADAPTOR</t>
  </si>
  <si>
    <t>GRD-SWV-101-SS - STAINLESS STEEL</t>
  </si>
  <si>
    <t>GRD-TAL-37TS - WHITE SUMP LID</t>
  </si>
  <si>
    <t>GRD-TAL-37TS-711 - 37"TWIST SEAL</t>
  </si>
  <si>
    <t>GRD-TAL-37TS-711-V - TWIST SEAL LID</t>
  </si>
  <si>
    <t>GRD-TAL-37TS-G - WHITE SUMP LID GASKET</t>
  </si>
  <si>
    <t>GRD-TAL37TS-I - LID/INFLATABLE SEAL 37"</t>
  </si>
  <si>
    <t>GRD-TCBK3333 - Sump Lid Bolt Down Kit</t>
  </si>
  <si>
    <t>GRD-TC-Bostik - Bostik Sealer</t>
  </si>
  <si>
    <t>GRD-TCLS-0033 - Sump Cover w/Gasket</t>
  </si>
  <si>
    <t>GRD-TC-PL - FILL CAP WITH COMBO LOCK</t>
  </si>
  <si>
    <t>GRD-TC-SILICON - LEXEL SILICON</t>
  </si>
  <si>
    <t>GRD-TS-9CC - API COLOR CODE CHARTS</t>
  </si>
  <si>
    <t>GRD-TSP-IGF4 - 4" FLOAT KTI</t>
  </si>
  <si>
    <t>GRD-TSSP-PRB - PRB12 FIELD MODULE</t>
  </si>
  <si>
    <t>GRD-U-0613VC - Flat Top Vapor Cap</t>
  </si>
  <si>
    <t>GRD-U-1002L - 4" FILL PIPE ADAPTOR</t>
  </si>
  <si>
    <t>GRD-U-1002S - 4" PIPE EXTENTION</t>
  </si>
  <si>
    <t>GRD-U-731 - Flat Top Fill Cap</t>
  </si>
  <si>
    <t>GRD-U-MS-76 - 7-11 SPEC E SHUT OFF SWITCH</t>
  </si>
  <si>
    <t>GRD-UNV.88-1810 - 18" MANHOLE</t>
  </si>
  <si>
    <t>GRD-UNV60-12-B5 - Universal Vapor Lid</t>
  </si>
  <si>
    <t>GRD-US-FPI-125D - Fill Pipe I.D. DSL</t>
  </si>
  <si>
    <t>GRD-US-FPI-125K - KERO FILL I.D. TAG</t>
  </si>
  <si>
    <t>GRD-US-FPI-125P - FILL PIPE ID PUL</t>
  </si>
  <si>
    <t>GRD-US-FPI-125U - Fill Pipe I.D. RUL</t>
  </si>
  <si>
    <t>GRD-US-FPI-27 - FILL PIPE ID MUL</t>
  </si>
  <si>
    <t>GRD-US-FPI-46 - FILL PIPE ID SUPER</t>
  </si>
  <si>
    <t>GRD-Valve Arm - Shear Valve Arm</t>
  </si>
  <si>
    <t>GRD-VAR75 - 3/4" NPT COVERTER</t>
  </si>
  <si>
    <t>GRD-WD3200LUCT - 320 GB GILBARCO EDH HARD DRIVE</t>
  </si>
  <si>
    <t>GRD-WSP37-16 - FIBERLITE MULTIPORT LID</t>
  </si>
  <si>
    <t>GRD-WSP-CRK - CLAMP KIT</t>
  </si>
  <si>
    <t>GRD-WTS-THANDLE - LID LOCKING HANDLE</t>
  </si>
  <si>
    <t>GRD-XERXES GASKET - 26IN GASKET</t>
  </si>
  <si>
    <t>GRD-XXXE-LOCK RING - Lock Ring XERXES SUMP</t>
  </si>
  <si>
    <t>GRD-ZIP436ZB - ZIPPER BOOTS</t>
  </si>
  <si>
    <t>HOS-124021 - 3/4INX8IN WHIP HOSE</t>
  </si>
  <si>
    <t>HOS-124285 - 3/4INX8' HOSE</t>
  </si>
  <si>
    <t>HOS-124425 - 3/4 X12' Hose</t>
  </si>
  <si>
    <t>HOS-125025G - 5/8IN  Green Hose</t>
  </si>
  <si>
    <t>HOS-18FT6XAH - 8' SPEC WAWA HOSE</t>
  </si>
  <si>
    <t>HOS-3/4X10' - WAWA 10' SPEC HOSE</t>
  </si>
  <si>
    <t>HOS-6210 - HUSKY NON-RECONNECTABLE BREAKA</t>
  </si>
  <si>
    <t>HOS-GY1X8MXM - 1" X 8' HOSE</t>
  </si>
  <si>
    <t>HOS-HUSKY 0350VI - Husky Swivel</t>
  </si>
  <si>
    <t>HOS-HUSKY 2273 - NON-REC BREAKAWAY</t>
  </si>
  <si>
    <t>HOS-I10X3/4SSC - WAWA SPEC 3/4 X10' HOSE</t>
  </si>
  <si>
    <t>HOS-I10XAH - WAWA 10' SPEC HOSE</t>
  </si>
  <si>
    <t>HOS-I8'6"X3/4SC - WAWA NVP HOSE</t>
  </si>
  <si>
    <t>HOS-WA124284 - WAWA SPEC 3/4 X 8' NVP HOS</t>
  </si>
  <si>
    <t>IMG-09D016R - MHD PUMP TOPPER EXXON</t>
  </si>
  <si>
    <t>IMG-10011R - FIRE BOX HAMMER</t>
  </si>
  <si>
    <t>IMG-105-20-BOX - 7-11 SPEC CABINET</t>
  </si>
  <si>
    <t>IMG-106DL-0095 - DEISEL CONCRETE MARKER</t>
  </si>
  <si>
    <t>IMG-106P-0150 - PREMIUM CONCRETE MARKER</t>
  </si>
  <si>
    <t>IMG-106U-0125 - UNLEADED CONCRETE MARKER</t>
  </si>
  <si>
    <t>IMG-106UP-0125 - MUL CONCRETE MARKER</t>
  </si>
  <si>
    <t>IMG-12055 - 7-11 SPEC PANEL</t>
  </si>
  <si>
    <t>IMG-12075 - 7-11 SPEC FRAME</t>
  </si>
  <si>
    <t>IMG-1TAG-1000-711 - UNLEADED ID TAG 7-11</t>
  </si>
  <si>
    <t>IMG-1TAG-1000N - REG OPW ID TAG</t>
  </si>
  <si>
    <t>IMG-1TAG-1010 - UNLEADED TAG FOR 7-11</t>
  </si>
  <si>
    <t>IMG-1TAG-2000 - MUL TAG</t>
  </si>
  <si>
    <t>IMG-1TAG-2010 - MUL TAG W ZIP</t>
  </si>
  <si>
    <t>IMG-1TAG-3000-711 - PUL ID TAG FOR 7-11</t>
  </si>
  <si>
    <t>IMG-1TAG-3000N - PUL OPW ID TAG</t>
  </si>
  <si>
    <t>IMG-1TAG-3010 - PUL ID TAG FOR 7-11</t>
  </si>
  <si>
    <t>IMG-1TAG-4000 - 7-11 DSL SPILL BUCKET TAG</t>
  </si>
  <si>
    <t>IMG-1TAG-4010 - 7-11 DSL TAG FOR INSIDE BUCKET</t>
  </si>
  <si>
    <t>IMG-1TAG-7000-711 - VAPOR ID TAG FOR 711</t>
  </si>
  <si>
    <t>IMG-1TAG-7000N - VAPOR OPW ID TAG</t>
  </si>
  <si>
    <t>IMG-1TAG-7010 - VAPOR ID TAG FOR 711</t>
  </si>
  <si>
    <t>IMG-2.5LBN - 2.5LB FIRE EXT</t>
  </si>
  <si>
    <t>IMG-3020 - 20LB FIRE EXT</t>
  </si>
  <si>
    <t>IMG-502101025 - AMERON GLUE KIT</t>
  </si>
  <si>
    <t>IMG-596091EM - ENC-500 3+0 REG EXTRA SUP</t>
  </si>
  <si>
    <t>IMG-596092EM - ENC-500 DUAL WIN REG EX SUP</t>
  </si>
  <si>
    <t>IMG-609441 - EXXON CROWN LOGO E-500</t>
  </si>
  <si>
    <t>IMG-609442 - MOBIL CROWN LOGO E-500</t>
  </si>
  <si>
    <t>IMG-609443 - E-700 TOP SPEAKER PANEL</t>
  </si>
  <si>
    <t>IMG-609981 - E-500 UPPER BEXEL DECAL</t>
  </si>
  <si>
    <t>IMG-609988 - ENC PRIVACY KEYPAD RECEIPT</t>
  </si>
  <si>
    <t>IMG-609989 - ENC KEYPAD BLANK ADA</t>
  </si>
  <si>
    <t>IMG-610432 - ENC ADA SOFTKEY OVERLAY</t>
  </si>
  <si>
    <t>IMG-610433 - ENC PRIVACY CC READER PNL</t>
  </si>
  <si>
    <t>IMG-610441 - EN-500 W PRIVACY KEYPAD BLANK</t>
  </si>
  <si>
    <t>IMG-610442 - E-500 DUAL NOZ BOOT 3+0 BLANK</t>
  </si>
  <si>
    <t>IMG-610445 - E-500 RIGHT SINGLE 3+1 NOZ BLU</t>
  </si>
  <si>
    <t>IMG-611317 - QR CODE DECAL</t>
  </si>
  <si>
    <t>IMG-615823 - EN PRIVACY ADA KEY RECEIPT</t>
  </si>
  <si>
    <t>IMG-615824 - ENC EPP ADA PIN PAD NO CALL</t>
  </si>
  <si>
    <t>IMG-615825 - ENC EPP ADDA PIN PAD W/ CALL</t>
  </si>
  <si>
    <t>IMG-615839 - ENC KEYPAD MAIN DISPLAY DECAL</t>
  </si>
  <si>
    <t>IMG-615901 - FACE CUT OUT LOGO DECAL</t>
  </si>
  <si>
    <t>IMG-615903 - EXXON LOGO DECAL</t>
  </si>
  <si>
    <t>IMG-618879 - ENC EPP SOFT KEY W/ CALL ADA</t>
  </si>
  <si>
    <t>IMG-628784 - ENC EPP ADA PAD AND PAY OPT</t>
  </si>
  <si>
    <t>IMG-654229 - LEFT DOOR DECAL BLUE</t>
  </si>
  <si>
    <t>IMG-657522 - ENC EPP SOFT KEY W/ CALL</t>
  </si>
  <si>
    <t>IMG-660310 - PUMP #S 1-30</t>
  </si>
  <si>
    <t>IMG-686164 - E-500/700 SOLID CRIND BLUE</t>
  </si>
  <si>
    <t>IMG-707549 - HOW WAS YOUR VISIT DECAL</t>
  </si>
  <si>
    <t>IMG-711448 - RUNNING TIGER VALANCE DECAL</t>
  </si>
  <si>
    <t>IMG-711450 - PEGASUS VALANCE DECAL</t>
  </si>
  <si>
    <t>IMG-713466 - ENC EPP PRIVAVY W/4 DICALS</t>
  </si>
  <si>
    <t>IMG-787-400-01N - REG PHIL TITE ID TAG</t>
  </si>
  <si>
    <t>IMG-787-400-03N - PUL PHIL TITE ID TAG</t>
  </si>
  <si>
    <t>IMG-787-400-08N - VAPOR PHIL TITE ID TAG</t>
  </si>
  <si>
    <t>IMG-CO2 - CO2 REFILL</t>
  </si>
  <si>
    <t>IMG-D-171 - EMERGENCY SHUT OFF DECAL</t>
  </si>
  <si>
    <t>IMG-EOH-FDC-1 - WAWA DEBRI COLLECTOR</t>
  </si>
  <si>
    <t>IMG-FIRE RECHARGE - 10 LB FIRE EXT RECHARGE FEE</t>
  </si>
  <si>
    <t>IMG-FL781-304-01 - EBW F.L. 18" LID</t>
  </si>
  <si>
    <t>IMG-FL7A - FIBERLITE LID TOOL</t>
  </si>
  <si>
    <t>IMG-FL-FRP-ID-D - DIESEL ID TAG</t>
  </si>
  <si>
    <t>IMG-FL-FRP-ID-PN - PUL FIBRELITE ID TAG</t>
  </si>
  <si>
    <t>IMG-FL-FRP-ID-RN - RUL FIBRELITE ID TAG</t>
  </si>
  <si>
    <t>IMG-IA-ESOCA/T/RD - EMERGENCY SHUT OFF</t>
  </si>
  <si>
    <t>IMG-KIT-LK - RESIGN KIT</t>
  </si>
  <si>
    <t>IMG-M-53 - ALUMINUM SIGN</t>
  </si>
  <si>
    <t>IMG-PID-1154CE - CONTAINS ETHANOL DECAL</t>
  </si>
  <si>
    <t>IMG-PID-1154CEB - CONTAINS ETHANOL DECAL</t>
  </si>
  <si>
    <t>IMG-PID-1154CEC - CONTAINS ETHANOL DECAL</t>
  </si>
  <si>
    <t>IMG-PT-85011-1 - WAWA LID WITH ORING</t>
  </si>
  <si>
    <t>INT-78802892830 12V - 12V Power Supply</t>
  </si>
  <si>
    <t>INT-78-8028-9283-2 - 14V POWER SUPPLY</t>
  </si>
  <si>
    <t>INT-78-9236-2877-6 - D-20 Intracom</t>
  </si>
  <si>
    <t>INT-78-9236-2877-6R - D-20 Intracom</t>
  </si>
  <si>
    <t>INT-D2475AA - 3M INTERCOM</t>
  </si>
  <si>
    <t>INT-POWER CORD - 18 WIRE POWER CORD</t>
  </si>
  <si>
    <t>INT-POWER SUPPLY 16V - POWER SUPPLY</t>
  </si>
  <si>
    <t>INT-RDM3342 - CALL BOX WITH BUTTON</t>
  </si>
  <si>
    <t>LM-HML6C - FLAMMABLE LABEL (RED)</t>
  </si>
  <si>
    <t>LM-NS12 - NON REG MATERIAL DECAL</t>
  </si>
  <si>
    <t>LM-WM6 - Hazardous Waste Label (Yellow)</t>
  </si>
  <si>
    <t>MAS-16078M - ATLAS GLOVE (L)</t>
  </si>
  <si>
    <t>MAY-#D-154 - EM Shut Off Inside</t>
  </si>
  <si>
    <t>MAY-D-171 - DECAL EMERGENCY SHUT-OFF</t>
  </si>
  <si>
    <t>MAY-M-53 - EMERGENCY SHUTOFF SIGN</t>
  </si>
  <si>
    <t>NOZ-001809 - BLUE HAND WARMERS</t>
  </si>
  <si>
    <t>NOZ-1471 - LEADED SPOUT</t>
  </si>
  <si>
    <t>NOZ-159597 - HUSKY GREEN 1" DIESEL NOZZLE</t>
  </si>
  <si>
    <t>NOZ-159597-W - WARRANTY FREIGHT</t>
  </si>
  <si>
    <t>NOZ-1809-03 - Green Reguard Kit</t>
  </si>
  <si>
    <t>NOZ-1809-04 - Black Reguard Kit</t>
  </si>
  <si>
    <t>NOZ-3VW-0450 - REPLACEMENT VEG</t>
  </si>
  <si>
    <t>NOZ-6250431 - HUSKY VAPOR NOZZLE</t>
  </si>
  <si>
    <t>NOZ-6250431-W - WARRANTY FREIGHT</t>
  </si>
  <si>
    <t>NOZ-6291 - SPOUT GUARD CLAMP KIT</t>
  </si>
  <si>
    <t>NOZ-7HB - 7HB OPW 1INNOZZLE""</t>
  </si>
  <si>
    <t>NOZ-D01532M - 11BP SCUFF KIT</t>
  </si>
  <si>
    <t>NOZ-HN-N10SUF - HUSKY NON-VAPOR NOZZLE</t>
  </si>
  <si>
    <t>NOZ-HN-N10SUF-W - WARRANTY FREIGHT</t>
  </si>
  <si>
    <t>NOZ-HP-4000 - V34 VAPOR GUARD</t>
  </si>
  <si>
    <t>NOZ-HUS1472 - LEADED SPOUT</t>
  </si>
  <si>
    <t>NOZ-OPW11B-0400 - BLACK LEADED NOZZLE</t>
  </si>
  <si>
    <t>NOZ-OPW11BP/WARR - WARRNTY FREIGHT</t>
  </si>
  <si>
    <t>NOZ-OPW11BP-0400 - OPW NON VAP NOZZLE</t>
  </si>
  <si>
    <t>NOZ-OPW11BPWAR-0400 - OPW 11BP WAR FREIGHT</t>
  </si>
  <si>
    <t>NOZ-OPW12VW-0400 - OPW VAP NOZZLE</t>
  </si>
  <si>
    <t>NOZ-OPW12VW-0400/WAR - WARRANTY FREIGHT</t>
  </si>
  <si>
    <t>NOZ-OPW241TPS-0241 - OPW NON VAP SWIVEL</t>
  </si>
  <si>
    <t>NOZ-OPW241TPS-1000 - OPW NV SWIVEL</t>
  </si>
  <si>
    <t>NOZ-OPW5BBI-2135 - DIESEL SPOUT KIT</t>
  </si>
  <si>
    <t>NOZ-OPW5BBPI-2137 - NON VP SPOUT KIT</t>
  </si>
  <si>
    <t>NOZ-OPW66RB-2000 - OPW NVW BKWY</t>
  </si>
  <si>
    <t>NOZ-OPW66REC-1000 - OPW NON VAP BKWY</t>
  </si>
  <si>
    <t>NOZ-OPW6BG-0100 - GREEN DIESEL SCUFF KIT</t>
  </si>
  <si>
    <t>NOZ-OPW7HB-0100 - DESIEL 1" NOZZLE</t>
  </si>
  <si>
    <t>NOZ-OPW8G0100 - GREEN SPLASH GUARD DIESEL</t>
  </si>
  <si>
    <t>VAP-7/8INX 8' - 7/8INX 8 Ft Vapor Assist Hose</t>
  </si>
  <si>
    <t>VAP-OPW-523LP-2203 - 2IN Pressure Vent Cap</t>
  </si>
  <si>
    <t>VAP-OPW66CAS-0300 - OPW VAPOR BREAKAWAY</t>
  </si>
  <si>
    <t>VAP-OPW66CAS-0300/WA - WARRANTY FREIGHT</t>
  </si>
  <si>
    <t>VAP-OPW-8BL-0400N - SPLASHGUARD BLK</t>
  </si>
  <si>
    <t>VAP-VV Whip - Vapor VAC Whip Hose</t>
  </si>
  <si>
    <t>VDR-0329342-001 - VEEDER ROOT SCREW</t>
  </si>
  <si>
    <t>VDR-0330374-001 - PLLD MODULE</t>
  </si>
  <si>
    <t>VDR-0330734-001 - PLLD MODULE</t>
  </si>
  <si>
    <t>VDR-0330743-001 - CPU Board</t>
  </si>
  <si>
    <t>VDR-0331898-001 - IS BARRIER BRD</t>
  </si>
  <si>
    <t>VDR-0514100-30 - Seal Pack</t>
  </si>
  <si>
    <t>VDR-0848100-501 - VR Splice Kit</t>
  </si>
  <si>
    <t>VDR-210488 - BUCKET SENSOR</t>
  </si>
  <si>
    <t>VDR-312020-928 - RISER CAP INTERSTITIAL</t>
  </si>
  <si>
    <t>VDR-312020-952 - WAWA SPEC METAL CAP</t>
  </si>
  <si>
    <t>VDR-312020-952N - WAWA SPEC METAL CAP</t>
  </si>
  <si>
    <t>VDR-329211-001 - Printer Paper Shaft</t>
  </si>
  <si>
    <t>VDR-329257-001A - TLS-350 MOTHER BRD</t>
  </si>
  <si>
    <t>VDR-329342-001N - PAM DOOR SCREW</t>
  </si>
  <si>
    <t>VDR-329356-002 - Probe Thurmister</t>
  </si>
  <si>
    <t>VDR-329358-001 - SENSOR MODULE</t>
  </si>
  <si>
    <t>VDR-329362-004 - SERIAL SATELITE MODULE</t>
  </si>
  <si>
    <t>VDR-329370-004 - Printer Door Group</t>
  </si>
  <si>
    <t>VDR-330020-282 - 4INProbe Cap Assy""</t>
  </si>
  <si>
    <t>VDR-330020-409 - INSTALL KIT FOR TLS350</t>
  </si>
  <si>
    <t>VDR-330020-425 - TCP/IP MODULE KIT</t>
  </si>
  <si>
    <t>VDR-330020-435 - BRINE SENSOR CAP</t>
  </si>
  <si>
    <t>VDR-330020-527 - BATTERY PACK</t>
  </si>
  <si>
    <t>VDR-330020-546 - MAINTENANCE TRACKER</t>
  </si>
  <si>
    <t>VDR-330149-002 - FAX INTERFACE MODULE</t>
  </si>
  <si>
    <t>VDR-330160-102 - Software Module CSLD</t>
  </si>
  <si>
    <t>VDR-330272-001 - CABLE 5', MAG PROBE</t>
  </si>
  <si>
    <t>VDR-330272-0015 - REPLACEMENT CABLE 15FT</t>
  </si>
  <si>
    <t>VDR-330272-002 - 10 FT CABLE LEAD ASSY</t>
  </si>
  <si>
    <t>VDR-330280-001 - DIM MODULE FOR WAWA</t>
  </si>
  <si>
    <t>VDR-330280-401 - DIM MODULE</t>
  </si>
  <si>
    <t>VDR-330280-801 - EDIM Board</t>
  </si>
  <si>
    <t>VDR-330374-001 - PLLD OUTPUT BRD</t>
  </si>
  <si>
    <t>VDR-330374-001C - PLLD OUTPUT BRD</t>
  </si>
  <si>
    <t>VDR-330374-001R - USED PLLD MODULE</t>
  </si>
  <si>
    <t>VDR-330404-020 - GILBARCO DIM MODULE</t>
  </si>
  <si>
    <t>VDR-330586-017 - MAINTENANCE TRACKER BOARD</t>
  </si>
  <si>
    <t>VDR-330734-001 - POWER SUPPLY BRD</t>
  </si>
  <si>
    <t>VDR-330743-004 - V.R. CPU BOARD</t>
  </si>
  <si>
    <t>VDR-330831-001 - BIR LOOP DISP MOD</t>
  </si>
  <si>
    <t>VDR-330843-001 - 6 INPUT PLLD INTERFACE</t>
  </si>
  <si>
    <t>VDR-331014-001 - PLLD SWIFT CK VALVE</t>
  </si>
  <si>
    <t>VDR-331063-010 - CAB BOX ASSEMBLY</t>
  </si>
  <si>
    <t>VDR-331102-002 - 352 PROBE LEAD ASSY</t>
  </si>
  <si>
    <t>VDR-331500-303 - TLS-350R SOFTWARE</t>
  </si>
  <si>
    <t>VDR-331500-308 - ECPU2 KIT</t>
  </si>
  <si>
    <t>VDR-331500-322 - CPU SOFTWARE</t>
  </si>
  <si>
    <t>VDR-331500-322RC - TLS-350 SOFTWARE CORE</t>
  </si>
  <si>
    <t>VDR-331500-353 - CPU2 SOFTWARE</t>
  </si>
  <si>
    <t>VDR-331898-001 - IS BARRIER BRD</t>
  </si>
  <si>
    <t>VDR-331960-001 - ECPU2 BOARD</t>
  </si>
  <si>
    <t>VDR-331960-001NC - ECPU2 BOARD W/ NO CORE</t>
  </si>
  <si>
    <t>VDR-332966-201 - MEM SOFTWARE</t>
  </si>
  <si>
    <t>VDR-332966-203 - NUMEM BRD SOFTWARE</t>
  </si>
  <si>
    <t>VDR-333545-001 - TLS-450PLUS SOFTWARE</t>
  </si>
  <si>
    <t>VDR-418TM-40 - BRINE SENSOR CAP</t>
  </si>
  <si>
    <t>VDR-514100-110 - V.R. MONITOR PAPER</t>
  </si>
  <si>
    <t>VDR-576010-695 - LITHIUM BATTERY 3.5V</t>
  </si>
  <si>
    <t>VDR-603-M5R - OVERFILL ALARM TIMER</t>
  </si>
  <si>
    <t>VDR-708590930 - OPV ASSEMBLY FRANKLIN</t>
  </si>
  <si>
    <t>VDR-790091-001 - OVERFILL ALARM</t>
  </si>
  <si>
    <t>VDR-790095-001 - ACKNOWLEDGEMENT SWITCH</t>
  </si>
  <si>
    <t>VDR-794380-208 - Piping Sump Sensor</t>
  </si>
  <si>
    <t>VDR-794380-302 - DUAL-FLOAT HYDROSTATIC SENSOR</t>
  </si>
  <si>
    <t>VDR-794380-303 - BRINE SENSOR</t>
  </si>
  <si>
    <t>VDR-794380-322 - DISC. HYD. SUMP SENSOR</t>
  </si>
  <si>
    <t>VDR-794-380-343 - Interstitial Sensor</t>
  </si>
  <si>
    <t>VDR-794380-344 - INTERSTITIAL SENSOR</t>
  </si>
  <si>
    <t>VDR-794380-350 - Disc. Sump Sensor</t>
  </si>
  <si>
    <t>VDR-794380-352 - Disc. Sump Sensor</t>
  </si>
  <si>
    <t>VDR-794390-407 - Interstitial Sensor</t>
  </si>
  <si>
    <t>VDR-794390-409 - Interstitial Sensor</t>
  </si>
  <si>
    <t>VDR-794390-420 - INTERSTITIAL  SENSOR</t>
  </si>
  <si>
    <t>VDR-794390-460 - Interstitial Sensor 30'</t>
  </si>
  <si>
    <t>VDR-846390-107 - 8' MAG PROBE</t>
  </si>
  <si>
    <t>VDR-846390-109 - 10' MAG PLUS</t>
  </si>
  <si>
    <t>VDR-846390-110 - 10' MAG PLUS PROBE</t>
  </si>
  <si>
    <t>VDR-846391-109 - 10' MAG PLUS PROBE</t>
  </si>
  <si>
    <t>VDR-846391-409 - 10' PROBE</t>
  </si>
  <si>
    <t>VDR-846391-499 - CUSTOM 70" LENGTH PROBE</t>
  </si>
  <si>
    <t>VDR-846400-000 - MAG + PROBE FLOAT KIT</t>
  </si>
  <si>
    <t>VDR-846400-001 - MAG+ DIESEL FLOAT KIT</t>
  </si>
  <si>
    <t>VDR-846400-004 - FLOAT KIT</t>
  </si>
  <si>
    <t>VDR-846400-100 - 2" MAG+ GAS FLOAT KIT</t>
  </si>
  <si>
    <t>VDR-847390-110 - 10' MAG PROBE</t>
  </si>
  <si>
    <t>VDR-847490-102 - 8-Input Liquid Sensor Module</t>
  </si>
  <si>
    <t>VDR-847490-110 - PLLD 6-INPUT</t>
  </si>
  <si>
    <t>VDR-847490-204 - PUMP SENSE MODULE</t>
  </si>
  <si>
    <t>VDR-848290-022 - TLS 350 CONSOLE WITH PRINTER</t>
  </si>
  <si>
    <t>VDR-848480-001 - PLLD TRANSDUCER</t>
  </si>
  <si>
    <t>VDR-848722-100 - CDIM BOX W/CABLE</t>
  </si>
  <si>
    <t>VDR-848741-100 - CAB BOX</t>
  </si>
  <si>
    <t>VDR-849500-001 - DIESEL KIT DIESEL</t>
  </si>
  <si>
    <t>VDR-849600-000 - Mag Probe Install Kit</t>
  </si>
  <si>
    <t>VDR-849600-001 - MAG DIESEL FLOAT KIT</t>
  </si>
  <si>
    <t>VDR-849600-100 - 2IN MAG PROBE INSTALL KIT</t>
  </si>
  <si>
    <t>VDR-857080-111 - MAG SUMP SENSOR</t>
  </si>
  <si>
    <t>VDR-880-047-1 - CONTROL BOX WITH BOARD</t>
  </si>
  <si>
    <t>VDR-886100-000 - MAG+PROBE FLOAT KIT</t>
  </si>
  <si>
    <t>VDR-Null Modem - Null Modem</t>
  </si>
  <si>
    <t>VDR-R329326-001 - LIQUID CRYSTAL DISPLAY</t>
  </si>
  <si>
    <t>VDR-S704-80034FD - USB DRIVE PX60 PASSPORT</t>
  </si>
  <si>
    <t>VDR-VR-SENSEMOUNTKIT - VR SENSE MOUNTING KIT</t>
  </si>
  <si>
    <t>RPSPARTS</t>
  </si>
  <si>
    <t>PRICE</t>
  </si>
  <si>
    <t>Remarks</t>
  </si>
  <si>
    <t>BOBCAT FOR REMOVING DISPENSERS</t>
  </si>
  <si>
    <t>SKID STEER / EXCAVATION</t>
  </si>
  <si>
    <t>DEMO SKID STEER</t>
  </si>
  <si>
    <t>P185 AIR COMPRESSOR</t>
  </si>
  <si>
    <t>AIR COMPRESSOR - CONDUIT CLEAR</t>
  </si>
  <si>
    <t>DROP TUBE EXTRACTOR</t>
  </si>
  <si>
    <t>DROP TUBE EXTRACTOR TOOL - REINFORCED TRI-POD/COME ALONG</t>
  </si>
  <si>
    <t>1"x4" GALV NIPPLE</t>
  </si>
  <si>
    <t>3PC UNION/DB/EP</t>
  </si>
  <si>
    <t>RPS PARTS SOLD</t>
  </si>
  <si>
    <t>GENERAL RECEIPTS</t>
  </si>
  <si>
    <t>COIGA</t>
  </si>
  <si>
    <t>1" GALV CONDUIT - 10 FT</t>
  </si>
  <si>
    <t>X-873280-001</t>
  </si>
  <si>
    <t>9402 BELDEN EQUAL</t>
  </si>
  <si>
    <t>SHEPHARD12G/14G WIRE</t>
  </si>
  <si>
    <t>GENERAL RECEIPTS TOTAL:</t>
  </si>
  <si>
    <t>RPS STOCK PARTS TOTAL:</t>
  </si>
  <si>
    <t>AM 2" PRI 90 DEG ELBOW</t>
  </si>
  <si>
    <t>ELECTRICAL RECEIPTS</t>
  </si>
  <si>
    <t>SERVICE TECH MOBILIZATION TOTAL:</t>
  </si>
  <si>
    <t>MOBILIZATION TOTAL:</t>
  </si>
  <si>
    <t>RPS EQUIPMENT TOTAL:</t>
  </si>
  <si>
    <t>RENTAL EQUIPMENT RECEIPTS</t>
  </si>
  <si>
    <t>RENTAL EQUIPMENT TOTAL:</t>
  </si>
  <si>
    <t xml:space="preserve">SERVICE TECH MOBILIZATION    </t>
  </si>
  <si>
    <t>CONSTRUCTION MOBILIZATION TOTAL:</t>
  </si>
  <si>
    <t>MOBILIZATION / TRAVEL CHARGE</t>
  </si>
  <si>
    <t xml:space="preserve">CONSTRUCTION TEAM  </t>
  </si>
  <si>
    <t>RPS LABOR - ONSITE</t>
  </si>
  <si>
    <t>CONCRETE / REBAR / BACKFILL TOTAL:</t>
  </si>
  <si>
    <t>LODGING AND PER DIEM TOTAL:</t>
  </si>
  <si>
    <t xml:space="preserve">CONCRETE / REBAR / BACKFILL       </t>
  </si>
  <si>
    <t xml:space="preserve">ZJI INDUSTRIAL </t>
  </si>
  <si>
    <t>RF Eco Entry Fitting for Flat surface 3.5"</t>
  </si>
  <si>
    <t>ELECTRICAL SUPPLIES TOTAL:</t>
  </si>
  <si>
    <t>WIRE AND CABLE</t>
  </si>
  <si>
    <t>DISPENSER WIRE TOTAL</t>
  </si>
  <si>
    <t>ICON PARTS TOTAL:</t>
  </si>
  <si>
    <t xml:space="preserve">RPS EQUIPMENT </t>
  </si>
  <si>
    <t>PUMP AND TANK PARTS:</t>
  </si>
  <si>
    <t>PIPING FERGUSONS TOTAL:</t>
  </si>
  <si>
    <t>CABLE / INTERCOM / CAT6 / VEEDER ROOT:</t>
  </si>
  <si>
    <t>VA SALES TAX 5.3%:</t>
  </si>
  <si>
    <t>SUBTOTAL:</t>
  </si>
  <si>
    <t xml:space="preserve">ELECTRICAL </t>
  </si>
  <si>
    <t>IBNKS</t>
  </si>
  <si>
    <t>2" x 5" BLK STL Nipple</t>
  </si>
  <si>
    <t>2" x 6" BLK STL Nipple</t>
  </si>
  <si>
    <t>2X3" BLK STL NIPPLE</t>
  </si>
  <si>
    <t>.</t>
  </si>
  <si>
    <t>IBBKJ</t>
  </si>
  <si>
    <t>2X1-1/2" MNPTxFNPT BLK</t>
  </si>
  <si>
    <t>H40220</t>
  </si>
  <si>
    <t>GAL dark cutting oil</t>
  </si>
  <si>
    <t>CF3/4XCLGANIP</t>
  </si>
  <si>
    <t>CF3/4x12GANIP</t>
  </si>
  <si>
    <t>3/4" x 12 GALV NIPPLE</t>
  </si>
  <si>
    <t>SCRB132</t>
  </si>
  <si>
    <t>1x3/4 RED BUSH</t>
  </si>
  <si>
    <t>brm21750499</t>
  </si>
  <si>
    <t>0.750"x16'</t>
  </si>
  <si>
    <t>BTP</t>
  </si>
  <si>
    <t>BLK MI 150# TEE</t>
  </si>
  <si>
    <t>BNPX</t>
  </si>
  <si>
    <t>4x8 BLK STL NIP</t>
  </si>
  <si>
    <t>BNPU</t>
  </si>
  <si>
    <t>4x6 BLK STL NIP</t>
  </si>
  <si>
    <t>BNPP</t>
  </si>
  <si>
    <t>4x4 BLK STL NIP</t>
  </si>
  <si>
    <t>B9P</t>
  </si>
  <si>
    <t>BLK MI 150# 90 ELL</t>
  </si>
  <si>
    <t>TOTAL EQUIPMENT, RENTALS, DISPOSAL, BACKFILL, REBAR, AND CONCRETE</t>
  </si>
  <si>
    <t>TOTAL LABOR AND MOBILIZATION</t>
  </si>
  <si>
    <t>SEI COMPLIANCE</t>
  </si>
  <si>
    <t>6100 Pouncey Tract Road</t>
  </si>
  <si>
    <t>Glen Allen, VA 23059</t>
  </si>
  <si>
    <t>DMR/TH</t>
  </si>
  <si>
    <t>2" Ball Valve</t>
  </si>
  <si>
    <t>RWC</t>
  </si>
  <si>
    <t>AM</t>
  </si>
  <si>
    <t>Removed liquid from sump. Installed New Nipple, Ball Valve. Cut Line back and installed new opw Swedge fitting on product line.Made connections. Assist Tanknology with line test. Verified passing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</si>
</sst>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 &quot;&quot;$&quot;* #,##0.00&quot; &quot;;&quot; &quot;&quot;$&quot;* \(#,##0.00\);&quot; &quot;&quot;$&quot;* &quot;-&quot;??&quot; &quot;"/>
    <numFmt numFmtId="165" formatCode="&quot;$&quot;#,##0.00&quot; &quot;;\(&quot;$&quot;#,##0.00\)"/>
    <numFmt numFmtId="166" formatCode="&quot; &quot;&quot;$&quot;* #,##0.00&quot; &quot;;&quot;-&quot;&quot;$&quot;* #,##0.00&quot; &quot;;&quot; &quot;&quot;$&quot;* &quot;-&quot;??&quot; &quot;"/>
    <numFmt numFmtId="167" formatCode="&quot;$&quot;0.00"/>
  </numFmts>
  <fonts count="34">
    <font>
      <sz val="10"/>
      <color indexed="8"/>
      <name val="Arial"/>
    </font>
    <font>
      <b/>
      <sz val="6"/>
      <color indexed="8"/>
      <name val="Arial"/>
      <family val="2"/>
    </font>
    <font>
      <b/>
      <sz val="6"/>
      <color indexed="9"/>
      <name val="Arial"/>
      <family val="2"/>
    </font>
    <font>
      <sz val="6"/>
      <color indexed="8"/>
      <name val="Arial"/>
      <family val="2"/>
    </font>
    <font>
      <b/>
      <sz val="8"/>
      <color indexed="9"/>
      <name val="Calibri"/>
      <family val="2"/>
    </font>
    <font>
      <b/>
      <u/>
      <sz val="6"/>
      <color indexed="8"/>
      <name val="Calibri"/>
      <family val="2"/>
    </font>
    <font>
      <b/>
      <u/>
      <sz val="6"/>
      <color indexed="9"/>
      <name val="Calibri"/>
      <family val="2"/>
    </font>
    <font>
      <b/>
      <sz val="6"/>
      <color indexed="9"/>
      <name val="Calibri"/>
      <family val="2"/>
    </font>
    <font>
      <b/>
      <sz val="6"/>
      <color indexed="8"/>
      <name val="Helv"/>
    </font>
    <font>
      <b/>
      <sz val="9"/>
      <color indexed="9"/>
      <name val="Calibri"/>
      <family val="2"/>
    </font>
    <font>
      <b/>
      <sz val="10"/>
      <color indexed="9"/>
      <name val="Calibri"/>
      <family val="2"/>
    </font>
    <font>
      <b/>
      <sz val="6"/>
      <color indexed="9"/>
      <name val="Calibri (Body)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Tahoma"/>
      <family val="2"/>
    </font>
    <font>
      <b/>
      <u/>
      <sz val="8"/>
      <color indexed="8"/>
      <name val="Calibri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sz val="8"/>
      <name val="Arial"/>
      <family val="2"/>
    </font>
    <font>
      <sz val="5"/>
      <color indexed="8"/>
      <name val="Arial"/>
      <family val="2"/>
    </font>
    <font>
      <b/>
      <u/>
      <sz val="6"/>
      <color theme="0"/>
      <name val="Calibri"/>
      <family val="2"/>
    </font>
    <font>
      <b/>
      <sz val="8"/>
      <color theme="0"/>
      <name val="Calibri"/>
      <family val="2"/>
    </font>
    <font>
      <b/>
      <sz val="6"/>
      <color theme="0"/>
      <name val="Arial"/>
      <family val="2"/>
    </font>
    <font>
      <b/>
      <sz val="6"/>
      <color rgb="FF000000"/>
      <name val="Arial"/>
      <family val="2"/>
    </font>
    <font>
      <sz val="7"/>
      <color theme="0"/>
      <name val="Arial"/>
      <family val="2"/>
    </font>
    <font>
      <b/>
      <sz val="6"/>
      <color theme="0"/>
      <name val="Calibri"/>
      <family val="2"/>
    </font>
    <font>
      <b/>
      <sz val="7"/>
      <color theme="0"/>
      <name val="Calibri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rgb="FFE3F9FF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theme="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NumberFormat="0" applyFill="0" applyBorder="0" applyProtection="0"/>
    <xf numFmtId="0" fontId="12" fillId="0" borderId="1" applyNumberFormat="0" applyFill="0" applyBorder="0" applyProtection="0"/>
  </cellStyleXfs>
  <cellXfs count="223">
    <xf numFmtId="0" fontId="0" fillId="0" borderId="0" xfId="0" applyFont="1" applyAlignment="1"/>
    <xf numFmtId="0" fontId="0" fillId="0" borderId="0" xfId="0" applyNumberFormat="1" applyFont="1" applyAlignment="1"/>
    <xf numFmtId="0" fontId="1" fillId="4" borderId="3" xfId="0" applyFont="1" applyFill="1" applyBorder="1" applyAlignment="1">
      <alignment horizontal="left"/>
    </xf>
    <xf numFmtId="164" fontId="1" fillId="4" borderId="3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0" fontId="1" fillId="6" borderId="3" xfId="0" applyNumberFormat="1" applyFont="1" applyFill="1" applyBorder="1" applyAlignment="1">
      <alignment horizontal="left" readingOrder="1"/>
    </xf>
    <xf numFmtId="14" fontId="1" fillId="6" borderId="3" xfId="0" applyNumberFormat="1" applyFont="1" applyFill="1" applyBorder="1" applyAlignment="1">
      <alignment horizontal="left"/>
    </xf>
    <xf numFmtId="0" fontId="1" fillId="2" borderId="3" xfId="0" applyNumberFormat="1" applyFont="1" applyFill="1" applyBorder="1" applyAlignment="1">
      <alignment horizontal="left"/>
    </xf>
    <xf numFmtId="49" fontId="5" fillId="6" borderId="3" xfId="0" applyNumberFormat="1" applyFont="1" applyFill="1" applyBorder="1" applyAlignment="1">
      <alignment horizontal="left"/>
    </xf>
    <xf numFmtId="164" fontId="5" fillId="6" borderId="3" xfId="0" applyNumberFormat="1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49" fontId="5" fillId="6" borderId="3" xfId="0" applyNumberFormat="1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left"/>
    </xf>
    <xf numFmtId="166" fontId="1" fillId="6" borderId="3" xfId="0" applyNumberFormat="1" applyFont="1" applyFill="1" applyBorder="1" applyAlignment="1">
      <alignment horizontal="left"/>
    </xf>
    <xf numFmtId="0" fontId="1" fillId="7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left"/>
    </xf>
    <xf numFmtId="0" fontId="1" fillId="6" borderId="3" xfId="0" applyFont="1" applyFill="1" applyBorder="1" applyAlignment="1">
      <alignment horizontal="center"/>
    </xf>
    <xf numFmtId="0" fontId="1" fillId="6" borderId="3" xfId="0" applyNumberFormat="1" applyFont="1" applyFill="1" applyBorder="1" applyAlignment="1">
      <alignment horizontal="center"/>
    </xf>
    <xf numFmtId="0" fontId="1" fillId="7" borderId="3" xfId="0" applyNumberFormat="1" applyFont="1" applyFill="1" applyBorder="1" applyAlignment="1">
      <alignment horizontal="center"/>
    </xf>
    <xf numFmtId="0" fontId="1" fillId="7" borderId="3" xfId="0" applyFont="1" applyFill="1" applyBorder="1" applyAlignment="1">
      <alignment horizontal="left"/>
    </xf>
    <xf numFmtId="166" fontId="1" fillId="2" borderId="3" xfId="0" applyNumberFormat="1" applyFont="1" applyFill="1" applyBorder="1" applyAlignment="1">
      <alignment horizontal="left"/>
    </xf>
    <xf numFmtId="164" fontId="1" fillId="7" borderId="3" xfId="0" applyNumberFormat="1" applyFont="1" applyFill="1" applyBorder="1" applyAlignment="1">
      <alignment horizontal="left"/>
    </xf>
    <xf numFmtId="49" fontId="5" fillId="8" borderId="3" xfId="0" applyNumberFormat="1" applyFont="1" applyFill="1" applyBorder="1" applyAlignment="1">
      <alignment horizontal="left"/>
    </xf>
    <xf numFmtId="164" fontId="5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Alignment="1">
      <alignment horizontal="left"/>
    </xf>
    <xf numFmtId="0" fontId="1" fillId="6" borderId="3" xfId="0" applyNumberFormat="1" applyFont="1" applyFill="1" applyBorder="1" applyAlignment="1">
      <alignment horizontal="left"/>
    </xf>
    <xf numFmtId="49" fontId="8" fillId="6" borderId="3" xfId="0" applyNumberFormat="1" applyFont="1" applyFill="1" applyBorder="1" applyAlignment="1"/>
    <xf numFmtId="167" fontId="1" fillId="6" borderId="3" xfId="0" applyNumberFormat="1" applyFont="1" applyFill="1" applyBorder="1" applyAlignment="1">
      <alignment horizontal="left"/>
    </xf>
    <xf numFmtId="49" fontId="8" fillId="2" borderId="3" xfId="0" applyNumberFormat="1" applyFont="1" applyFill="1" applyBorder="1" applyAlignment="1"/>
    <xf numFmtId="164" fontId="7" fillId="3" borderId="3" xfId="0" applyNumberFormat="1" applyFont="1" applyFill="1" applyBorder="1" applyAlignment="1">
      <alignment horizontal="left"/>
    </xf>
    <xf numFmtId="49" fontId="1" fillId="9" borderId="3" xfId="0" applyNumberFormat="1" applyFont="1" applyFill="1" applyBorder="1" applyAlignment="1">
      <alignment horizontal="left"/>
    </xf>
    <xf numFmtId="164" fontId="1" fillId="9" borderId="3" xfId="0" applyNumberFormat="1" applyFont="1" applyFill="1" applyBorder="1" applyAlignment="1">
      <alignment horizontal="left"/>
    </xf>
    <xf numFmtId="167" fontId="1" fillId="9" borderId="3" xfId="0" applyNumberFormat="1" applyFont="1" applyFill="1" applyBorder="1" applyAlignment="1">
      <alignment horizontal="left"/>
    </xf>
    <xf numFmtId="166" fontId="1" fillId="9" borderId="3" xfId="0" applyNumberFormat="1" applyFon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49" fontId="1" fillId="6" borderId="3" xfId="0" applyNumberFormat="1" applyFont="1" applyFill="1" applyBorder="1" applyAlignment="1"/>
    <xf numFmtId="49" fontId="1" fillId="2" borderId="3" xfId="0" applyNumberFormat="1" applyFont="1" applyFill="1" applyBorder="1" applyAlignment="1"/>
    <xf numFmtId="0" fontId="1" fillId="8" borderId="3" xfId="0" applyFont="1" applyFill="1" applyBorder="1" applyAlignment="1">
      <alignment horizontal="left"/>
    </xf>
    <xf numFmtId="164" fontId="1" fillId="8" borderId="3" xfId="0" applyNumberFormat="1" applyFont="1" applyFill="1" applyBorder="1" applyAlignment="1">
      <alignment horizontal="left"/>
    </xf>
    <xf numFmtId="166" fontId="1" fillId="8" borderId="3" xfId="0" applyNumberFormat="1" applyFont="1" applyFill="1" applyBorder="1" applyAlignment="1">
      <alignment horizontal="left"/>
    </xf>
    <xf numFmtId="165" fontId="1" fillId="2" borderId="3" xfId="0" applyNumberFormat="1" applyFont="1" applyFill="1" applyBorder="1" applyAlignment="1">
      <alignment horizontal="left"/>
    </xf>
    <xf numFmtId="49" fontId="6" fillId="5" borderId="3" xfId="0" applyNumberFormat="1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49" fontId="6" fillId="5" borderId="3" xfId="0" applyNumberFormat="1" applyFont="1" applyFill="1" applyBorder="1" applyAlignment="1">
      <alignment horizontal="left" wrapText="1"/>
    </xf>
    <xf numFmtId="49" fontId="6" fillId="5" borderId="3" xfId="0" applyNumberFormat="1" applyFont="1" applyFill="1" applyBorder="1" applyAlignment="1">
      <alignment horizontal="center"/>
    </xf>
    <xf numFmtId="164" fontId="7" fillId="5" borderId="3" xfId="0" applyNumberFormat="1" applyFont="1" applyFill="1" applyBorder="1" applyAlignment="1">
      <alignment horizontal="left"/>
    </xf>
    <xf numFmtId="0" fontId="1" fillId="7" borderId="3" xfId="0" applyNumberFormat="1" applyFont="1" applyFill="1" applyBorder="1" applyAlignment="1">
      <alignment horizontal="left"/>
    </xf>
    <xf numFmtId="165" fontId="1" fillId="6" borderId="3" xfId="0" applyNumberFormat="1" applyFont="1" applyFill="1" applyBorder="1" applyAlignment="1">
      <alignment horizontal="left"/>
    </xf>
    <xf numFmtId="164" fontId="7" fillId="10" borderId="3" xfId="0" applyNumberFormat="1" applyFont="1" applyFill="1" applyBorder="1" applyAlignment="1">
      <alignment horizontal="left"/>
    </xf>
    <xf numFmtId="0" fontId="12" fillId="0" borderId="1" xfId="1" applyNumberFormat="1" applyFont="1" applyAlignment="1"/>
    <xf numFmtId="0" fontId="12" fillId="0" borderId="4" xfId="1" applyFont="1" applyBorder="1" applyAlignment="1"/>
    <xf numFmtId="167" fontId="13" fillId="0" borderId="4" xfId="1" applyNumberFormat="1" applyFont="1" applyBorder="1" applyAlignment="1">
      <alignment horizontal="right"/>
    </xf>
    <xf numFmtId="49" fontId="13" fillId="0" borderId="4" xfId="1" applyNumberFormat="1" applyFont="1" applyBorder="1" applyAlignment="1">
      <alignment horizontal="left"/>
    </xf>
    <xf numFmtId="49" fontId="13" fillId="0" borderId="4" xfId="1" applyNumberFormat="1" applyFont="1" applyBorder="1" applyAlignment="1">
      <alignment horizontal="right"/>
    </xf>
    <xf numFmtId="49" fontId="12" fillId="0" borderId="4" xfId="1" applyNumberFormat="1" applyFont="1" applyBorder="1" applyAlignment="1"/>
    <xf numFmtId="0" fontId="15" fillId="0" borderId="0" xfId="0" applyFont="1" applyAlignment="1"/>
    <xf numFmtId="0" fontId="14" fillId="0" borderId="4" xfId="1" applyNumberFormat="1" applyFont="1" applyBorder="1" applyAlignment="1">
      <alignment horizontal="left"/>
    </xf>
    <xf numFmtId="0" fontId="13" fillId="0" borderId="4" xfId="1" applyNumberFormat="1" applyFont="1" applyBorder="1" applyAlignment="1">
      <alignment horizontal="left"/>
    </xf>
    <xf numFmtId="167" fontId="13" fillId="0" borderId="4" xfId="0" applyNumberFormat="1" applyFont="1" applyBorder="1" applyAlignment="1">
      <alignment horizontal="right"/>
    </xf>
    <xf numFmtId="0" fontId="0" fillId="0" borderId="0" xfId="0" applyNumberFormat="1"/>
    <xf numFmtId="0" fontId="16" fillId="11" borderId="0" xfId="0" applyFont="1" applyFill="1" applyAlignment="1"/>
    <xf numFmtId="49" fontId="17" fillId="11" borderId="4" xfId="0" applyNumberFormat="1" applyFont="1" applyFill="1" applyBorder="1" applyAlignment="1">
      <alignment horizontal="left"/>
    </xf>
    <xf numFmtId="49" fontId="18" fillId="8" borderId="5" xfId="0" applyNumberFormat="1" applyFont="1" applyFill="1" applyBorder="1" applyAlignment="1">
      <alignment horizontal="left"/>
    </xf>
    <xf numFmtId="49" fontId="18" fillId="8" borderId="5" xfId="0" applyNumberFormat="1" applyFont="1" applyFill="1" applyBorder="1" applyAlignment="1">
      <alignment horizontal="center"/>
    </xf>
    <xf numFmtId="49" fontId="19" fillId="0" borderId="5" xfId="0" applyNumberFormat="1" applyFont="1" applyBorder="1" applyAlignment="1">
      <alignment horizontal="left"/>
    </xf>
    <xf numFmtId="167" fontId="19" fillId="0" borderId="5" xfId="0" applyNumberFormat="1" applyFont="1" applyBorder="1" applyAlignment="1">
      <alignment horizontal="left"/>
    </xf>
    <xf numFmtId="0" fontId="20" fillId="0" borderId="3" xfId="0" applyNumberFormat="1" applyFont="1" applyBorder="1" applyAlignment="1">
      <alignment horizontal="left"/>
    </xf>
    <xf numFmtId="164" fontId="1" fillId="12" borderId="3" xfId="0" applyNumberFormat="1" applyFont="1" applyFill="1" applyBorder="1" applyAlignment="1">
      <alignment horizontal="left"/>
    </xf>
    <xf numFmtId="164" fontId="7" fillId="14" borderId="3" xfId="0" applyNumberFormat="1" applyFont="1" applyFill="1" applyBorder="1" applyAlignment="1">
      <alignment horizontal="left"/>
    </xf>
    <xf numFmtId="2" fontId="1" fillId="6" borderId="3" xfId="0" applyNumberFormat="1" applyFont="1" applyFill="1" applyBorder="1" applyAlignment="1" applyProtection="1">
      <alignment horizontal="left"/>
      <protection locked="0"/>
    </xf>
    <xf numFmtId="44" fontId="1" fillId="6" borderId="3" xfId="0" applyNumberFormat="1" applyFont="1" applyFill="1" applyBorder="1" applyAlignment="1">
      <alignment horizontal="left"/>
    </xf>
    <xf numFmtId="14" fontId="26" fillId="16" borderId="8" xfId="0" applyNumberFormat="1" applyFont="1" applyFill="1" applyBorder="1" applyAlignment="1">
      <alignment horizontal="left"/>
    </xf>
    <xf numFmtId="2" fontId="26" fillId="16" borderId="8" xfId="0" applyNumberFormat="1" applyFont="1" applyFill="1" applyBorder="1" applyAlignment="1">
      <alignment horizontal="left"/>
    </xf>
    <xf numFmtId="0" fontId="26" fillId="16" borderId="8" xfId="0" applyFont="1" applyFill="1" applyBorder="1" applyAlignment="1">
      <alignment horizontal="left"/>
    </xf>
    <xf numFmtId="0" fontId="26" fillId="17" borderId="8" xfId="0" applyFont="1" applyFill="1" applyBorder="1" applyAlignment="1">
      <alignment horizontal="center"/>
    </xf>
    <xf numFmtId="14" fontId="26" fillId="16" borderId="9" xfId="0" applyNumberFormat="1" applyFont="1" applyFill="1" applyBorder="1" applyAlignment="1">
      <alignment horizontal="left"/>
    </xf>
    <xf numFmtId="2" fontId="26" fillId="16" borderId="9" xfId="0" applyNumberFormat="1" applyFont="1" applyFill="1" applyBorder="1" applyAlignment="1">
      <alignment horizontal="left"/>
    </xf>
    <xf numFmtId="164" fontId="26" fillId="15" borderId="9" xfId="0" applyNumberFormat="1" applyFont="1" applyFill="1" applyBorder="1" applyAlignment="1">
      <alignment horizontal="left"/>
    </xf>
    <xf numFmtId="0" fontId="26" fillId="16" borderId="9" xfId="0" applyFont="1" applyFill="1" applyBorder="1" applyAlignment="1">
      <alignment horizontal="left"/>
    </xf>
    <xf numFmtId="49" fontId="26" fillId="16" borderId="9" xfId="0" applyNumberFormat="1" applyFont="1" applyFill="1" applyBorder="1" applyAlignment="1">
      <alignment horizontal="left"/>
    </xf>
    <xf numFmtId="164" fontId="27" fillId="18" borderId="3" xfId="0" applyNumberFormat="1" applyFont="1" applyFill="1" applyBorder="1" applyAlignment="1"/>
    <xf numFmtId="164" fontId="1" fillId="21" borderId="3" xfId="0" applyNumberFormat="1" applyFont="1" applyFill="1" applyBorder="1" applyAlignment="1">
      <alignment horizontal="left"/>
    </xf>
    <xf numFmtId="0" fontId="1" fillId="21" borderId="3" xfId="0" applyFont="1" applyFill="1" applyBorder="1" applyAlignment="1">
      <alignment horizontal="left"/>
    </xf>
    <xf numFmtId="165" fontId="1" fillId="21" borderId="3" xfId="0" applyNumberFormat="1" applyFont="1" applyFill="1" applyBorder="1" applyAlignment="1">
      <alignment horizontal="left"/>
    </xf>
    <xf numFmtId="49" fontId="1" fillId="21" borderId="3" xfId="0" applyNumberFormat="1" applyFont="1" applyFill="1" applyBorder="1" applyAlignment="1">
      <alignment horizontal="left"/>
    </xf>
    <xf numFmtId="164" fontId="25" fillId="14" borderId="3" xfId="0" applyNumberFormat="1" applyFont="1" applyFill="1" applyBorder="1" applyAlignment="1">
      <alignment horizontal="left"/>
    </xf>
    <xf numFmtId="164" fontId="29" fillId="14" borderId="10" xfId="0" applyNumberFormat="1" applyFont="1" applyFill="1" applyBorder="1" applyAlignment="1">
      <alignment horizontal="left"/>
    </xf>
    <xf numFmtId="164" fontId="25" fillId="14" borderId="10" xfId="0" applyNumberFormat="1" applyFont="1" applyFill="1" applyBorder="1" applyAlignment="1">
      <alignment horizontal="left"/>
    </xf>
    <xf numFmtId="0" fontId="3" fillId="0" borderId="3" xfId="0" applyNumberFormat="1" applyFont="1" applyBorder="1" applyAlignment="1">
      <alignment horizontal="left"/>
    </xf>
    <xf numFmtId="164" fontId="25" fillId="3" borderId="3" xfId="0" applyNumberFormat="1" applyFont="1" applyFill="1" applyBorder="1" applyAlignment="1">
      <alignment horizontal="left"/>
    </xf>
    <xf numFmtId="164" fontId="11" fillId="18" borderId="3" xfId="0" applyNumberFormat="1" applyFont="1" applyFill="1" applyBorder="1" applyAlignment="1">
      <alignment horizontal="left"/>
    </xf>
    <xf numFmtId="0" fontId="11" fillId="18" borderId="3" xfId="0" applyFont="1" applyFill="1" applyBorder="1" applyAlignment="1">
      <alignment horizontal="center"/>
    </xf>
    <xf numFmtId="49" fontId="6" fillId="5" borderId="3" xfId="0" applyNumberFormat="1" applyFont="1" applyFill="1" applyBorder="1" applyAlignment="1">
      <alignment horizontal="right"/>
    </xf>
    <xf numFmtId="49" fontId="23" fillId="13" borderId="3" xfId="0" applyNumberFormat="1" applyFont="1" applyFill="1" applyBorder="1" applyAlignment="1">
      <alignment horizontal="left"/>
    </xf>
    <xf numFmtId="164" fontId="23" fillId="13" borderId="3" xfId="0" applyNumberFormat="1" applyFont="1" applyFill="1" applyBorder="1" applyAlignment="1">
      <alignment horizontal="left"/>
    </xf>
    <xf numFmtId="0" fontId="23" fillId="13" borderId="3" xfId="0" applyFont="1" applyFill="1" applyBorder="1" applyAlignment="1">
      <alignment horizontal="left"/>
    </xf>
    <xf numFmtId="49" fontId="23" fillId="13" borderId="3" xfId="0" applyNumberFormat="1" applyFont="1" applyFill="1" applyBorder="1" applyAlignment="1">
      <alignment horizontal="center"/>
    </xf>
    <xf numFmtId="0" fontId="7" fillId="23" borderId="3" xfId="0" applyFont="1" applyFill="1" applyBorder="1" applyAlignment="1">
      <alignment horizontal="left"/>
    </xf>
    <xf numFmtId="44" fontId="1" fillId="2" borderId="3" xfId="0" applyNumberFormat="1" applyFont="1" applyFill="1" applyBorder="1" applyAlignment="1">
      <alignment horizontal="left"/>
    </xf>
    <xf numFmtId="164" fontId="7" fillId="18" borderId="3" xfId="0" applyNumberFormat="1" applyFont="1" applyFill="1" applyBorder="1" applyAlignment="1">
      <alignment horizontal="left"/>
    </xf>
    <xf numFmtId="0" fontId="1" fillId="19" borderId="15" xfId="0" applyFont="1" applyFill="1" applyBorder="1" applyAlignment="1">
      <alignment horizontal="left"/>
    </xf>
    <xf numFmtId="0" fontId="1" fillId="19" borderId="16" xfId="0" applyFont="1" applyFill="1" applyBorder="1" applyAlignment="1">
      <alignment horizontal="left"/>
    </xf>
    <xf numFmtId="0" fontId="1" fillId="19" borderId="16" xfId="0" applyNumberFormat="1" applyFont="1" applyFill="1" applyBorder="1" applyAlignment="1">
      <alignment horizontal="left"/>
    </xf>
    <xf numFmtId="0" fontId="5" fillId="19" borderId="16" xfId="0" applyFont="1" applyFill="1" applyBorder="1" applyAlignment="1">
      <alignment horizontal="left"/>
    </xf>
    <xf numFmtId="0" fontId="1" fillId="12" borderId="16" xfId="0" applyFont="1" applyFill="1" applyBorder="1" applyAlignment="1">
      <alignment horizontal="left"/>
    </xf>
    <xf numFmtId="0" fontId="26" fillId="20" borderId="17" xfId="0" applyFont="1" applyFill="1" applyBorder="1" applyAlignment="1">
      <alignment horizontal="left"/>
    </xf>
    <xf numFmtId="49" fontId="2" fillId="12" borderId="16" xfId="0" applyNumberFormat="1" applyFont="1" applyFill="1" applyBorder="1" applyAlignment="1">
      <alignment horizontal="center" vertical="center"/>
    </xf>
    <xf numFmtId="0" fontId="0" fillId="12" borderId="1" xfId="0" applyNumberFormat="1" applyFont="1" applyFill="1" applyBorder="1" applyAlignment="1"/>
    <xf numFmtId="49" fontId="1" fillId="21" borderId="6" xfId="0" applyNumberFormat="1" applyFont="1" applyFill="1" applyBorder="1" applyAlignment="1">
      <alignment horizontal="left"/>
    </xf>
    <xf numFmtId="0" fontId="1" fillId="21" borderId="2" xfId="0" applyFont="1" applyFill="1" applyBorder="1" applyAlignment="1">
      <alignment horizontal="left"/>
    </xf>
    <xf numFmtId="164" fontId="1" fillId="21" borderId="2" xfId="0" applyNumberFormat="1" applyFont="1" applyFill="1" applyBorder="1" applyAlignment="1">
      <alignment horizontal="left"/>
    </xf>
    <xf numFmtId="167" fontId="1" fillId="21" borderId="2" xfId="0" applyNumberFormat="1" applyFont="1" applyFill="1" applyBorder="1" applyAlignment="1">
      <alignment horizontal="left"/>
    </xf>
    <xf numFmtId="166" fontId="1" fillId="21" borderId="2" xfId="0" applyNumberFormat="1" applyFont="1" applyFill="1" applyBorder="1" applyAlignment="1">
      <alignment horizontal="left"/>
    </xf>
    <xf numFmtId="0" fontId="5" fillId="6" borderId="7" xfId="0" applyFont="1" applyFill="1" applyBorder="1" applyAlignment="1">
      <alignment horizontal="center"/>
    </xf>
    <xf numFmtId="49" fontId="1" fillId="24" borderId="3" xfId="0" applyNumberFormat="1" applyFont="1" applyFill="1" applyBorder="1" applyAlignment="1">
      <alignment horizontal="left"/>
    </xf>
    <xf numFmtId="164" fontId="1" fillId="24" borderId="3" xfId="0" applyNumberFormat="1" applyFont="1" applyFill="1" applyBorder="1" applyAlignment="1">
      <alignment horizontal="left"/>
    </xf>
    <xf numFmtId="166" fontId="1" fillId="24" borderId="3" xfId="0" applyNumberFormat="1" applyFont="1" applyFill="1" applyBorder="1" applyAlignment="1">
      <alignment horizontal="left"/>
    </xf>
    <xf numFmtId="0" fontId="1" fillId="24" borderId="3" xfId="0" applyFont="1" applyFill="1" applyBorder="1" applyAlignment="1">
      <alignment horizontal="left"/>
    </xf>
    <xf numFmtId="49" fontId="5" fillId="25" borderId="3" xfId="0" applyNumberFormat="1" applyFont="1" applyFill="1" applyBorder="1" applyAlignment="1">
      <alignment horizontal="left"/>
    </xf>
    <xf numFmtId="0" fontId="5" fillId="25" borderId="3" xfId="0" applyFont="1" applyFill="1" applyBorder="1" applyAlignment="1">
      <alignment horizontal="left"/>
    </xf>
    <xf numFmtId="164" fontId="5" fillId="25" borderId="3" xfId="0" applyNumberFormat="1" applyFont="1" applyFill="1" applyBorder="1" applyAlignment="1">
      <alignment horizontal="left"/>
    </xf>
    <xf numFmtId="164" fontId="1" fillId="6" borderId="3" xfId="0" applyNumberFormat="1" applyFont="1" applyFill="1" applyBorder="1" applyAlignment="1">
      <alignment horizontal="center"/>
    </xf>
    <xf numFmtId="0" fontId="5" fillId="19" borderId="16" xfId="0" applyNumberFormat="1" applyFont="1" applyFill="1" applyBorder="1" applyAlignment="1">
      <alignment horizontal="left"/>
    </xf>
    <xf numFmtId="14" fontId="1" fillId="6" borderId="3" xfId="0" applyNumberFormat="1" applyFont="1" applyFill="1" applyBorder="1" applyAlignment="1">
      <alignment horizontal="left" readingOrder="1"/>
    </xf>
    <xf numFmtId="49" fontId="4" fillId="10" borderId="6" xfId="0" applyNumberFormat="1" applyFont="1" applyFill="1" applyBorder="1" applyAlignment="1">
      <alignment horizontal="right"/>
    </xf>
    <xf numFmtId="49" fontId="4" fillId="10" borderId="2" xfId="0" applyNumberFormat="1" applyFont="1" applyFill="1" applyBorder="1" applyAlignment="1">
      <alignment horizontal="right"/>
    </xf>
    <xf numFmtId="49" fontId="4" fillId="10" borderId="7" xfId="0" applyNumberFormat="1" applyFont="1" applyFill="1" applyBorder="1" applyAlignment="1">
      <alignment horizontal="right"/>
    </xf>
    <xf numFmtId="0" fontId="4" fillId="23" borderId="6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7" xfId="0" applyFont="1" applyFill="1" applyBorder="1" applyAlignment="1">
      <alignment horizontal="center"/>
    </xf>
    <xf numFmtId="49" fontId="24" fillId="14" borderId="6" xfId="0" applyNumberFormat="1" applyFont="1" applyFill="1" applyBorder="1" applyAlignment="1">
      <alignment horizontal="right"/>
    </xf>
    <xf numFmtId="49" fontId="24" fillId="14" borderId="2" xfId="0" applyNumberFormat="1" applyFont="1" applyFill="1" applyBorder="1" applyAlignment="1">
      <alignment horizontal="right"/>
    </xf>
    <xf numFmtId="49" fontId="24" fillId="14" borderId="7" xfId="0" applyNumberFormat="1" applyFont="1" applyFill="1" applyBorder="1" applyAlignment="1">
      <alignment horizontal="right"/>
    </xf>
    <xf numFmtId="49" fontId="4" fillId="5" borderId="3" xfId="0" applyNumberFormat="1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7" fillId="10" borderId="3" xfId="0" applyFont="1" applyFill="1" applyBorder="1" applyAlignment="1">
      <alignment horizontal="left"/>
    </xf>
    <xf numFmtId="0" fontId="0" fillId="6" borderId="3" xfId="0" applyFont="1" applyFill="1" applyBorder="1" applyAlignment="1"/>
    <xf numFmtId="14" fontId="7" fillId="5" borderId="6" xfId="0" applyNumberFormat="1" applyFont="1" applyFill="1" applyBorder="1" applyAlignment="1">
      <alignment horizontal="center"/>
    </xf>
    <xf numFmtId="14" fontId="7" fillId="5" borderId="2" xfId="0" applyNumberFormat="1" applyFont="1" applyFill="1" applyBorder="1" applyAlignment="1">
      <alignment horizontal="center"/>
    </xf>
    <xf numFmtId="14" fontId="7" fillId="5" borderId="7" xfId="0" applyNumberFormat="1" applyFont="1" applyFill="1" applyBorder="1" applyAlignment="1">
      <alignment horizontal="center"/>
    </xf>
    <xf numFmtId="0" fontId="24" fillId="14" borderId="6" xfId="0" applyNumberFormat="1" applyFont="1" applyFill="1" applyBorder="1" applyAlignment="1">
      <alignment horizontal="right"/>
    </xf>
    <xf numFmtId="0" fontId="24" fillId="14" borderId="2" xfId="0" applyNumberFormat="1" applyFont="1" applyFill="1" applyBorder="1" applyAlignment="1">
      <alignment horizontal="right"/>
    </xf>
    <xf numFmtId="49" fontId="4" fillId="23" borderId="6" xfId="0" applyNumberFormat="1" applyFont="1" applyFill="1" applyBorder="1" applyAlignment="1">
      <alignment horizontal="center"/>
    </xf>
    <xf numFmtId="49" fontId="4" fillId="23" borderId="2" xfId="0" applyNumberFormat="1" applyFont="1" applyFill="1" applyBorder="1" applyAlignment="1">
      <alignment horizontal="center"/>
    </xf>
    <xf numFmtId="49" fontId="4" fillId="23" borderId="7" xfId="0" applyNumberFormat="1" applyFont="1" applyFill="1" applyBorder="1" applyAlignment="1">
      <alignment horizontal="center"/>
    </xf>
    <xf numFmtId="0" fontId="5" fillId="6" borderId="6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14" fontId="24" fillId="14" borderId="2" xfId="0" applyNumberFormat="1" applyFont="1" applyFill="1" applyBorder="1" applyAlignment="1">
      <alignment horizontal="right"/>
    </xf>
    <xf numFmtId="14" fontId="24" fillId="14" borderId="14" xfId="0" applyNumberFormat="1" applyFont="1" applyFill="1" applyBorder="1" applyAlignment="1">
      <alignment horizontal="right"/>
    </xf>
    <xf numFmtId="14" fontId="25" fillId="14" borderId="6" xfId="0" applyNumberFormat="1" applyFont="1" applyFill="1" applyBorder="1" applyAlignment="1">
      <alignment horizontal="right"/>
    </xf>
    <xf numFmtId="14" fontId="25" fillId="14" borderId="2" xfId="0" applyNumberFormat="1" applyFont="1" applyFill="1" applyBorder="1" applyAlignment="1">
      <alignment horizontal="right"/>
    </xf>
    <xf numFmtId="0" fontId="25" fillId="18" borderId="6" xfId="0" applyNumberFormat="1" applyFont="1" applyFill="1" applyBorder="1" applyAlignment="1">
      <alignment horizontal="center"/>
    </xf>
    <xf numFmtId="0" fontId="25" fillId="18" borderId="2" xfId="0" applyNumberFormat="1" applyFont="1" applyFill="1" applyBorder="1" applyAlignment="1">
      <alignment horizontal="center"/>
    </xf>
    <xf numFmtId="0" fontId="24" fillId="14" borderId="7" xfId="0" applyNumberFormat="1" applyFont="1" applyFill="1" applyBorder="1" applyAlignment="1">
      <alignment horizontal="right"/>
    </xf>
    <xf numFmtId="0" fontId="25" fillId="13" borderId="6" xfId="0" applyNumberFormat="1" applyFont="1" applyFill="1" applyBorder="1" applyAlignment="1">
      <alignment horizontal="center"/>
    </xf>
    <xf numFmtId="0" fontId="25" fillId="13" borderId="2" xfId="0" applyNumberFormat="1" applyFont="1" applyFill="1" applyBorder="1" applyAlignment="1">
      <alignment horizontal="center"/>
    </xf>
    <xf numFmtId="0" fontId="25" fillId="13" borderId="7" xfId="0" applyNumberFormat="1" applyFont="1" applyFill="1" applyBorder="1" applyAlignment="1">
      <alignment horizontal="center"/>
    </xf>
    <xf numFmtId="0" fontId="4" fillId="3" borderId="6" xfId="0" applyNumberFormat="1" applyFont="1" applyFill="1" applyBorder="1" applyAlignment="1">
      <alignment horizontal="right"/>
    </xf>
    <xf numFmtId="0" fontId="4" fillId="3" borderId="2" xfId="0" applyNumberFormat="1" applyFont="1" applyFill="1" applyBorder="1" applyAlignment="1">
      <alignment horizontal="right"/>
    </xf>
    <xf numFmtId="0" fontId="4" fillId="3" borderId="7" xfId="0" applyNumberFormat="1" applyFont="1" applyFill="1" applyBorder="1" applyAlignment="1">
      <alignment horizontal="right"/>
    </xf>
    <xf numFmtId="49" fontId="4" fillId="23" borderId="6" xfId="0" applyNumberFormat="1" applyFont="1" applyFill="1" applyBorder="1" applyAlignment="1">
      <alignment horizontal="center" vertical="center"/>
    </xf>
    <xf numFmtId="49" fontId="4" fillId="23" borderId="2" xfId="0" applyNumberFormat="1" applyFont="1" applyFill="1" applyBorder="1" applyAlignment="1">
      <alignment horizontal="center" vertical="center"/>
    </xf>
    <xf numFmtId="49" fontId="4" fillId="23" borderId="7" xfId="0" applyNumberFormat="1" applyFont="1" applyFill="1" applyBorder="1" applyAlignment="1">
      <alignment horizontal="center" vertical="center"/>
    </xf>
    <xf numFmtId="49" fontId="9" fillId="23" borderId="6" xfId="0" applyNumberFormat="1" applyFont="1" applyFill="1" applyBorder="1" applyAlignment="1">
      <alignment horizontal="center" vertical="center"/>
    </xf>
    <xf numFmtId="49" fontId="9" fillId="23" borderId="2" xfId="0" applyNumberFormat="1" applyFont="1" applyFill="1" applyBorder="1" applyAlignment="1">
      <alignment horizontal="center" vertical="center"/>
    </xf>
    <xf numFmtId="49" fontId="9" fillId="23" borderId="7" xfId="0" applyNumberFormat="1" applyFont="1" applyFill="1" applyBorder="1" applyAlignment="1">
      <alignment horizontal="center" vertical="center"/>
    </xf>
    <xf numFmtId="49" fontId="23" fillId="23" borderId="6" xfId="0" applyNumberFormat="1" applyFont="1" applyFill="1" applyBorder="1" applyAlignment="1">
      <alignment horizontal="center"/>
    </xf>
    <xf numFmtId="49" fontId="23" fillId="23" borderId="2" xfId="0" applyNumberFormat="1" applyFont="1" applyFill="1" applyBorder="1" applyAlignment="1">
      <alignment horizontal="center"/>
    </xf>
    <xf numFmtId="49" fontId="23" fillId="23" borderId="7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right"/>
    </xf>
    <xf numFmtId="0" fontId="7" fillId="5" borderId="2" xfId="0" applyFont="1" applyFill="1" applyBorder="1" applyAlignment="1">
      <alignment horizontal="right"/>
    </xf>
    <xf numFmtId="0" fontId="7" fillId="5" borderId="7" xfId="0" applyFont="1" applyFill="1" applyBorder="1" applyAlignment="1">
      <alignment horizontal="right"/>
    </xf>
    <xf numFmtId="49" fontId="7" fillId="5" borderId="6" xfId="0" applyNumberFormat="1" applyFont="1" applyFill="1" applyBorder="1" applyAlignment="1">
      <alignment horizontal="right" wrapText="1"/>
    </xf>
    <xf numFmtId="49" fontId="7" fillId="5" borderId="2" xfId="0" applyNumberFormat="1" applyFont="1" applyFill="1" applyBorder="1" applyAlignment="1">
      <alignment horizontal="right" wrapText="1"/>
    </xf>
    <xf numFmtId="49" fontId="7" fillId="5" borderId="7" xfId="0" applyNumberFormat="1" applyFont="1" applyFill="1" applyBorder="1" applyAlignment="1">
      <alignment horizontal="right" wrapText="1"/>
    </xf>
    <xf numFmtId="49" fontId="7" fillId="18" borderId="6" xfId="0" applyNumberFormat="1" applyFont="1" applyFill="1" applyBorder="1" applyAlignment="1">
      <alignment horizontal="right" wrapText="1"/>
    </xf>
    <xf numFmtId="49" fontId="7" fillId="18" borderId="2" xfId="0" applyNumberFormat="1" applyFont="1" applyFill="1" applyBorder="1" applyAlignment="1">
      <alignment horizontal="right" wrapText="1"/>
    </xf>
    <xf numFmtId="49" fontId="7" fillId="18" borderId="7" xfId="0" applyNumberFormat="1" applyFont="1" applyFill="1" applyBorder="1" applyAlignment="1">
      <alignment horizontal="right" wrapText="1"/>
    </xf>
    <xf numFmtId="164" fontId="33" fillId="2" borderId="3" xfId="0" applyNumberFormat="1" applyFont="1" applyFill="1" applyBorder="1" applyAlignment="1">
      <alignment horizontal="center" vertical="center" wrapText="1"/>
    </xf>
    <xf numFmtId="0" fontId="22" fillId="6" borderId="3" xfId="0" applyFont="1" applyFill="1" applyBorder="1" applyAlignment="1"/>
    <xf numFmtId="49" fontId="2" fillId="5" borderId="3" xfId="0" applyNumberFormat="1" applyFont="1" applyFill="1" applyBorder="1" applyAlignment="1">
      <alignment horizontal="right" vertical="center"/>
    </xf>
    <xf numFmtId="49" fontId="10" fillId="23" borderId="3" xfId="0" applyNumberFormat="1" applyFont="1" applyFill="1" applyBorder="1" applyAlignment="1">
      <alignment horizontal="center"/>
    </xf>
    <xf numFmtId="0" fontId="0" fillId="23" borderId="3" xfId="0" applyFont="1" applyFill="1" applyBorder="1" applyAlignment="1"/>
    <xf numFmtId="49" fontId="4" fillId="23" borderId="3" xfId="0" applyNumberFormat="1" applyFont="1" applyFill="1" applyBorder="1" applyAlignment="1">
      <alignment horizontal="center" vertical="center"/>
    </xf>
    <xf numFmtId="49" fontId="24" fillId="23" borderId="6" xfId="0" applyNumberFormat="1" applyFont="1" applyFill="1" applyBorder="1" applyAlignment="1">
      <alignment horizontal="center"/>
    </xf>
    <xf numFmtId="166" fontId="4" fillId="14" borderId="6" xfId="0" applyNumberFormat="1" applyFont="1" applyFill="1" applyBorder="1" applyAlignment="1">
      <alignment horizontal="right"/>
    </xf>
    <xf numFmtId="166" fontId="4" fillId="14" borderId="2" xfId="0" applyNumberFormat="1" applyFont="1" applyFill="1" applyBorder="1" applyAlignment="1">
      <alignment horizontal="right"/>
    </xf>
    <xf numFmtId="166" fontId="4" fillId="14" borderId="7" xfId="0" applyNumberFormat="1" applyFont="1" applyFill="1" applyBorder="1" applyAlignment="1">
      <alignment horizontal="right"/>
    </xf>
    <xf numFmtId="166" fontId="10" fillId="23" borderId="6" xfId="0" applyNumberFormat="1" applyFont="1" applyFill="1" applyBorder="1" applyAlignment="1">
      <alignment horizontal="center"/>
    </xf>
    <xf numFmtId="166" fontId="10" fillId="23" borderId="2" xfId="0" applyNumberFormat="1" applyFont="1" applyFill="1" applyBorder="1" applyAlignment="1">
      <alignment horizontal="center"/>
    </xf>
    <xf numFmtId="166" fontId="10" fillId="23" borderId="7" xfId="0" applyNumberFormat="1" applyFont="1" applyFill="1" applyBorder="1" applyAlignment="1">
      <alignment horizontal="center"/>
    </xf>
    <xf numFmtId="164" fontId="23" fillId="13" borderId="6" xfId="0" applyNumberFormat="1" applyFont="1" applyFill="1" applyBorder="1" applyAlignment="1">
      <alignment horizontal="center"/>
    </xf>
    <xf numFmtId="164" fontId="23" fillId="13" borderId="2" xfId="0" applyNumberFormat="1" applyFont="1" applyFill="1" applyBorder="1" applyAlignment="1">
      <alignment horizontal="center"/>
    </xf>
    <xf numFmtId="164" fontId="23" fillId="13" borderId="7" xfId="0" applyNumberFormat="1" applyFont="1" applyFill="1" applyBorder="1" applyAlignment="1">
      <alignment horizontal="center"/>
    </xf>
    <xf numFmtId="49" fontId="5" fillId="25" borderId="6" xfId="0" applyNumberFormat="1" applyFont="1" applyFill="1" applyBorder="1" applyAlignment="1">
      <alignment horizontal="left"/>
    </xf>
    <xf numFmtId="49" fontId="5" fillId="25" borderId="2" xfId="0" applyNumberFormat="1" applyFont="1" applyFill="1" applyBorder="1" applyAlignment="1">
      <alignment horizontal="left"/>
    </xf>
    <xf numFmtId="49" fontId="5" fillId="25" borderId="7" xfId="0" applyNumberFormat="1" applyFont="1" applyFill="1" applyBorder="1" applyAlignment="1">
      <alignment horizontal="left"/>
    </xf>
    <xf numFmtId="167" fontId="1" fillId="25" borderId="6" xfId="0" applyNumberFormat="1" applyFont="1" applyFill="1" applyBorder="1" applyAlignment="1">
      <alignment horizontal="left"/>
    </xf>
    <xf numFmtId="167" fontId="1" fillId="25" borderId="2" xfId="0" applyNumberFormat="1" applyFont="1" applyFill="1" applyBorder="1" applyAlignment="1">
      <alignment horizontal="left"/>
    </xf>
    <xf numFmtId="167" fontId="1" fillId="25" borderId="7" xfId="0" applyNumberFormat="1" applyFont="1" applyFill="1" applyBorder="1" applyAlignment="1">
      <alignment horizontal="left"/>
    </xf>
    <xf numFmtId="0" fontId="5" fillId="25" borderId="6" xfId="0" applyNumberFormat="1" applyFont="1" applyFill="1" applyBorder="1" applyAlignment="1">
      <alignment horizontal="left"/>
    </xf>
    <xf numFmtId="0" fontId="5" fillId="25" borderId="2" xfId="0" applyNumberFormat="1" applyFont="1" applyFill="1" applyBorder="1" applyAlignment="1">
      <alignment horizontal="left"/>
    </xf>
    <xf numFmtId="0" fontId="5" fillId="25" borderId="7" xfId="0" applyNumberFormat="1" applyFont="1" applyFill="1" applyBorder="1" applyAlignment="1">
      <alignment horizontal="left"/>
    </xf>
    <xf numFmtId="49" fontId="30" fillId="22" borderId="6" xfId="0" applyNumberFormat="1" applyFont="1" applyFill="1" applyBorder="1" applyAlignment="1">
      <alignment horizontal="center"/>
    </xf>
    <xf numFmtId="49" fontId="30" fillId="22" borderId="2" xfId="0" applyNumberFormat="1" applyFont="1" applyFill="1" applyBorder="1" applyAlignment="1">
      <alignment horizontal="center"/>
    </xf>
    <xf numFmtId="49" fontId="30" fillId="22" borderId="7" xfId="0" applyNumberFormat="1" applyFont="1" applyFill="1" applyBorder="1" applyAlignment="1">
      <alignment horizontal="center"/>
    </xf>
    <xf numFmtId="14" fontId="28" fillId="3" borderId="6" xfId="0" applyNumberFormat="1" applyFont="1" applyFill="1" applyBorder="1" applyAlignment="1">
      <alignment horizontal="right"/>
    </xf>
    <xf numFmtId="14" fontId="28" fillId="3" borderId="2" xfId="0" applyNumberFormat="1" applyFont="1" applyFill="1" applyBorder="1" applyAlignment="1">
      <alignment horizontal="right"/>
    </xf>
    <xf numFmtId="14" fontId="28" fillId="3" borderId="7" xfId="0" applyNumberFormat="1" applyFont="1" applyFill="1" applyBorder="1" applyAlignment="1">
      <alignment horizontal="right"/>
    </xf>
    <xf numFmtId="49" fontId="28" fillId="13" borderId="6" xfId="0" applyNumberFormat="1" applyFont="1" applyFill="1" applyBorder="1" applyAlignment="1">
      <alignment horizontal="center"/>
    </xf>
    <xf numFmtId="49" fontId="28" fillId="13" borderId="2" xfId="0" applyNumberFormat="1" applyFont="1" applyFill="1" applyBorder="1" applyAlignment="1">
      <alignment horizontal="center"/>
    </xf>
    <xf numFmtId="49" fontId="28" fillId="13" borderId="7" xfId="0" applyNumberFormat="1" applyFont="1" applyFill="1" applyBorder="1" applyAlignment="1">
      <alignment horizontal="center"/>
    </xf>
    <xf numFmtId="49" fontId="4" fillId="18" borderId="11" xfId="0" applyNumberFormat="1" applyFont="1" applyFill="1" applyBorder="1" applyAlignment="1">
      <alignment horizontal="right"/>
    </xf>
    <xf numFmtId="49" fontId="4" fillId="18" borderId="12" xfId="0" applyNumberFormat="1" applyFont="1" applyFill="1" applyBorder="1" applyAlignment="1">
      <alignment horizontal="right"/>
    </xf>
    <xf numFmtId="49" fontId="4" fillId="18" borderId="13" xfId="0" applyNumberFormat="1" applyFont="1" applyFill="1" applyBorder="1" applyAlignment="1">
      <alignment horizontal="right"/>
    </xf>
    <xf numFmtId="0" fontId="31" fillId="18" borderId="6" xfId="0" applyFont="1" applyFill="1" applyBorder="1" applyAlignment="1">
      <alignment horizontal="center"/>
    </xf>
    <xf numFmtId="0" fontId="32" fillId="18" borderId="2" xfId="0" applyFont="1" applyFill="1" applyBorder="1" applyAlignment="1">
      <alignment horizontal="center"/>
    </xf>
    <xf numFmtId="0" fontId="32" fillId="18" borderId="7" xfId="0" applyFont="1" applyFill="1" applyBorder="1" applyAlignment="1">
      <alignment horizontal="center"/>
    </xf>
  </cellXfs>
  <cellStyles count="2">
    <cellStyle name="Normal" xfId="0" builtinId="0"/>
    <cellStyle name="Normal 2" xfId="1" xr:uid="{2328ECBE-A924-6041-8FFB-02DC28D6F66C}"/>
  </cellStyles>
  <dxfs count="2"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DAEEF3"/>
      <rgbColor rgb="FF255663"/>
      <rgbColor rgb="FFFBD4B4"/>
      <rgbColor rgb="FF403251"/>
      <rgbColor rgb="FF17365D"/>
      <rgbColor rgb="FF602826"/>
      <rgbColor rgb="FF008000"/>
      <rgbColor rgb="FF262626"/>
      <rgbColor rgb="FFD2DAE4"/>
      <rgbColor rgb="FFF2DBDB"/>
      <rgbColor rgb="FFF2F2F2"/>
      <rgbColor rgb="FFDBE5F1"/>
      <rgbColor rgb="FF202124"/>
      <rgbColor rgb="FFE3F9FF"/>
      <rgbColor rgb="FF903C39"/>
      <rgbColor rgb="FFD99594"/>
      <rgbColor rgb="FFFFFF00"/>
      <rgbColor rgb="FF3F3F3F"/>
      <rgbColor rgb="FF0F243E"/>
      <rgbColor rgb="FFA5A5A5"/>
      <rgbColor rgb="FFDCE6F1"/>
      <rgbColor rgb="FF222222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12764</xdr:colOff>
      <xdr:row>0</xdr:row>
      <xdr:rowOff>6381</xdr:rowOff>
    </xdr:from>
    <xdr:to>
      <xdr:col>6</xdr:col>
      <xdr:colOff>223367</xdr:colOff>
      <xdr:row>0</xdr:row>
      <xdr:rowOff>1138074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B0F8B-271F-E3D2-2279-AB48E14D6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4" y="6381"/>
          <a:ext cx="4543920" cy="1131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60"/>
  <sheetViews>
    <sheetView showGridLines="0" tabSelected="1" zoomScale="199" zoomScaleNormal="200" workbookViewId="0">
      <selection activeCell="D3" sqref="D3:J10"/>
    </sheetView>
  </sheetViews>
  <sheetFormatPr baseColWidth="10" defaultColWidth="8.83203125" defaultRowHeight="13" outlineLevelRow="1"/>
  <cols>
    <col min="1" max="1" width="1.83203125" style="111" customWidth="1"/>
    <col min="2" max="2" width="11.5" style="1" customWidth="1"/>
    <col min="3" max="3" width="21.5" style="1" customWidth="1"/>
    <col min="4" max="4" width="9.5" style="1" customWidth="1"/>
    <col min="5" max="5" width="6.83203125" style="1" customWidth="1"/>
    <col min="6" max="6" width="5.6640625" style="1" customWidth="1"/>
    <col min="7" max="7" width="7.5" style="1" customWidth="1"/>
    <col min="8" max="8" width="4.6640625" style="1" customWidth="1"/>
    <col min="9" max="9" width="5" style="1" customWidth="1"/>
    <col min="10" max="10" width="9" style="1" customWidth="1"/>
    <col min="11" max="11" width="8.83203125" style="1" customWidth="1"/>
    <col min="12" max="16384" width="8.83203125" style="1"/>
  </cols>
  <sheetData>
    <row r="1" spans="1:10" ht="91" customHeight="1"/>
    <row r="2" spans="1:10">
      <c r="A2" s="104"/>
      <c r="B2" s="2"/>
      <c r="C2" s="2"/>
      <c r="D2" s="3"/>
      <c r="E2" s="2"/>
      <c r="F2" s="2"/>
      <c r="G2" s="2"/>
      <c r="H2" s="2"/>
      <c r="I2" s="4"/>
      <c r="J2" s="2"/>
    </row>
    <row r="3" spans="1:10">
      <c r="A3" s="105"/>
      <c r="B3" s="6" t="s">
        <v>14</v>
      </c>
      <c r="C3" s="6" t="s">
        <v>4503</v>
      </c>
      <c r="D3" s="183" t="s">
        <v>4510</v>
      </c>
      <c r="E3" s="184"/>
      <c r="F3" s="184"/>
      <c r="G3" s="184"/>
      <c r="H3" s="184"/>
      <c r="I3" s="184"/>
      <c r="J3" s="184"/>
    </row>
    <row r="4" spans="1:10">
      <c r="A4" s="105"/>
      <c r="B4" s="6" t="s">
        <v>15</v>
      </c>
      <c r="C4" s="7">
        <v>38980</v>
      </c>
      <c r="D4" s="184"/>
      <c r="E4" s="184"/>
      <c r="F4" s="184"/>
      <c r="G4" s="184"/>
      <c r="H4" s="184"/>
      <c r="I4" s="184"/>
      <c r="J4" s="184"/>
    </row>
    <row r="5" spans="1:10">
      <c r="A5" s="105"/>
      <c r="B5" s="6" t="s">
        <v>1</v>
      </c>
      <c r="C5" s="7" t="s">
        <v>4504</v>
      </c>
      <c r="D5" s="184"/>
      <c r="E5" s="184"/>
      <c r="F5" s="184"/>
      <c r="G5" s="184"/>
      <c r="H5" s="184"/>
      <c r="I5" s="184"/>
      <c r="J5" s="184"/>
    </row>
    <row r="6" spans="1:10">
      <c r="A6" s="105"/>
      <c r="B6" s="6" t="s">
        <v>16</v>
      </c>
      <c r="C6" s="7" t="s">
        <v>4505</v>
      </c>
      <c r="D6" s="184"/>
      <c r="E6" s="184"/>
      <c r="F6" s="184"/>
      <c r="G6" s="184"/>
      <c r="H6" s="184"/>
      <c r="I6" s="184"/>
      <c r="J6" s="184"/>
    </row>
    <row r="7" spans="1:10">
      <c r="A7" s="105"/>
      <c r="B7" s="6" t="s">
        <v>17</v>
      </c>
      <c r="C7" s="127">
        <v>44788</v>
      </c>
      <c r="D7" s="184"/>
      <c r="E7" s="184"/>
      <c r="F7" s="184"/>
      <c r="G7" s="184"/>
      <c r="H7" s="184"/>
      <c r="I7" s="184"/>
      <c r="J7" s="184"/>
    </row>
    <row r="8" spans="1:10">
      <c r="A8" s="105"/>
      <c r="B8" s="6" t="s">
        <v>18</v>
      </c>
      <c r="C8" s="7"/>
      <c r="D8" s="184"/>
      <c r="E8" s="184"/>
      <c r="F8" s="184"/>
      <c r="G8" s="184"/>
      <c r="H8" s="184"/>
      <c r="I8" s="184"/>
      <c r="J8" s="184"/>
    </row>
    <row r="9" spans="1:10">
      <c r="A9" s="105"/>
      <c r="B9" s="6" t="s">
        <v>19</v>
      </c>
      <c r="C9" s="7"/>
      <c r="D9" s="184"/>
      <c r="E9" s="184"/>
      <c r="F9" s="184"/>
      <c r="G9" s="184"/>
      <c r="H9" s="184"/>
      <c r="I9" s="184"/>
      <c r="J9" s="184"/>
    </row>
    <row r="10" spans="1:10">
      <c r="A10" s="105"/>
      <c r="B10" s="6" t="s">
        <v>8</v>
      </c>
      <c r="C10" s="7"/>
      <c r="D10" s="184"/>
      <c r="E10" s="184"/>
      <c r="F10" s="184"/>
      <c r="G10" s="184"/>
      <c r="H10" s="184"/>
      <c r="I10" s="184"/>
      <c r="J10" s="184"/>
    </row>
    <row r="11" spans="1:10" hidden="1">
      <c r="A11" s="106"/>
      <c r="B11" s="188" t="s">
        <v>4474</v>
      </c>
      <c r="C11" s="187"/>
      <c r="D11" s="187"/>
      <c r="E11" s="187"/>
      <c r="F11" s="187"/>
      <c r="G11" s="187"/>
      <c r="H11" s="187"/>
      <c r="I11" s="187"/>
      <c r="J11" s="187"/>
    </row>
    <row r="12" spans="1:10" hidden="1" outlineLevel="1">
      <c r="A12" s="107"/>
      <c r="B12" s="10" t="s">
        <v>20</v>
      </c>
      <c r="C12" s="10" t="s">
        <v>21</v>
      </c>
      <c r="D12" s="10" t="s">
        <v>22</v>
      </c>
      <c r="E12" s="11"/>
      <c r="F12" s="12"/>
      <c r="G12" s="12"/>
      <c r="H12" s="10" t="s">
        <v>23</v>
      </c>
      <c r="I12" s="13" t="s">
        <v>24</v>
      </c>
      <c r="J12" s="10" t="s">
        <v>25</v>
      </c>
    </row>
    <row r="13" spans="1:10" hidden="1" outlineLevel="1">
      <c r="A13" s="107"/>
      <c r="B13" s="199" t="s">
        <v>26</v>
      </c>
      <c r="C13" s="200"/>
      <c r="D13" s="200"/>
      <c r="E13" s="200"/>
      <c r="F13" s="200"/>
      <c r="G13" s="200"/>
      <c r="H13" s="200"/>
      <c r="I13" s="200"/>
      <c r="J13" s="201"/>
    </row>
    <row r="14" spans="1:10" hidden="1" outlineLevel="1">
      <c r="A14" s="105"/>
      <c r="B14" s="6" t="s">
        <v>27</v>
      </c>
      <c r="C14" s="6" t="s">
        <v>28</v>
      </c>
      <c r="D14" s="15">
        <v>4.53</v>
      </c>
      <c r="E14" s="15"/>
      <c r="F14" s="15">
        <v>4.53</v>
      </c>
      <c r="G14" s="15">
        <v>4.53</v>
      </c>
      <c r="H14" s="15"/>
      <c r="I14" s="21"/>
      <c r="J14" s="15">
        <v>0</v>
      </c>
    </row>
    <row r="15" spans="1:10" hidden="1" outlineLevel="1">
      <c r="A15" s="105"/>
      <c r="B15" s="6" t="s">
        <v>29</v>
      </c>
      <c r="C15" s="6" t="s">
        <v>30</v>
      </c>
      <c r="D15" s="15">
        <v>34.89</v>
      </c>
      <c r="E15" s="15"/>
      <c r="F15" s="19">
        <f t="shared" ref="F15:F50" si="0">D15*25%</f>
        <v>8.7225000000000001</v>
      </c>
      <c r="G15" s="16">
        <f t="shared" ref="G15:G50" si="1">F15+D15</f>
        <v>43.612499999999997</v>
      </c>
      <c r="H15" s="5"/>
      <c r="I15" s="21"/>
      <c r="J15" s="15">
        <f t="shared" ref="J15:J58" si="2">SUM(I15*G15)</f>
        <v>0</v>
      </c>
    </row>
    <row r="16" spans="1:10" hidden="1" outlineLevel="1">
      <c r="A16" s="105"/>
      <c r="B16" s="6" t="s">
        <v>31</v>
      </c>
      <c r="C16" s="6" t="s">
        <v>32</v>
      </c>
      <c r="D16" s="15">
        <v>10.48</v>
      </c>
      <c r="E16" s="15"/>
      <c r="F16" s="15">
        <f t="shared" si="0"/>
        <v>2.62</v>
      </c>
      <c r="G16" s="16">
        <f t="shared" si="1"/>
        <v>13.100000000000001</v>
      </c>
      <c r="H16" s="5"/>
      <c r="I16" s="21"/>
      <c r="J16" s="15">
        <f t="shared" si="2"/>
        <v>0</v>
      </c>
    </row>
    <row r="17" spans="1:10" hidden="1" outlineLevel="1">
      <c r="A17" s="105"/>
      <c r="B17" s="6" t="s">
        <v>33</v>
      </c>
      <c r="C17" s="6" t="s">
        <v>34</v>
      </c>
      <c r="D17" s="15">
        <v>34.64</v>
      </c>
      <c r="E17" s="15"/>
      <c r="F17" s="19">
        <f t="shared" si="0"/>
        <v>8.66</v>
      </c>
      <c r="G17" s="16">
        <f t="shared" si="1"/>
        <v>43.3</v>
      </c>
      <c r="H17" s="5"/>
      <c r="I17" s="21"/>
      <c r="J17" s="15">
        <f t="shared" si="2"/>
        <v>0</v>
      </c>
    </row>
    <row r="18" spans="1:10" hidden="1" outlineLevel="1">
      <c r="A18" s="105"/>
      <c r="B18" s="6" t="s">
        <v>35</v>
      </c>
      <c r="C18" s="6" t="s">
        <v>36</v>
      </c>
      <c r="D18" s="15">
        <v>94.73</v>
      </c>
      <c r="E18" s="15"/>
      <c r="F18" s="15">
        <f t="shared" si="0"/>
        <v>23.682500000000001</v>
      </c>
      <c r="G18" s="16">
        <f t="shared" si="1"/>
        <v>118.41250000000001</v>
      </c>
      <c r="H18" s="5"/>
      <c r="I18" s="21"/>
      <c r="J18" s="15">
        <f t="shared" si="2"/>
        <v>0</v>
      </c>
    </row>
    <row r="19" spans="1:10" hidden="1" outlineLevel="1">
      <c r="A19" s="105"/>
      <c r="B19" s="6" t="s">
        <v>37</v>
      </c>
      <c r="C19" s="6" t="s">
        <v>38</v>
      </c>
      <c r="D19" s="15">
        <v>26</v>
      </c>
      <c r="E19" s="15"/>
      <c r="F19" s="19">
        <f t="shared" si="0"/>
        <v>6.5</v>
      </c>
      <c r="G19" s="16">
        <f t="shared" si="1"/>
        <v>32.5</v>
      </c>
      <c r="H19" s="5"/>
      <c r="I19" s="21"/>
      <c r="J19" s="15">
        <f t="shared" si="2"/>
        <v>0</v>
      </c>
    </row>
    <row r="20" spans="1:10" hidden="1" outlineLevel="1">
      <c r="A20" s="105"/>
      <c r="B20" s="6" t="s">
        <v>39</v>
      </c>
      <c r="C20" s="6" t="s">
        <v>40</v>
      </c>
      <c r="D20" s="15">
        <v>62.22</v>
      </c>
      <c r="E20" s="15"/>
      <c r="F20" s="15">
        <f t="shared" si="0"/>
        <v>15.555</v>
      </c>
      <c r="G20" s="16">
        <f t="shared" si="1"/>
        <v>77.775000000000006</v>
      </c>
      <c r="H20" s="5"/>
      <c r="I20" s="21"/>
      <c r="J20" s="15">
        <f t="shared" si="2"/>
        <v>0</v>
      </c>
    </row>
    <row r="21" spans="1:10" hidden="1" outlineLevel="1">
      <c r="A21" s="105"/>
      <c r="B21" s="6" t="s">
        <v>160</v>
      </c>
      <c r="C21" s="6" t="s">
        <v>161</v>
      </c>
      <c r="D21" s="15">
        <v>2.9</v>
      </c>
      <c r="E21" s="15"/>
      <c r="F21" s="15">
        <f t="shared" si="0"/>
        <v>0.72499999999999998</v>
      </c>
      <c r="G21" s="16">
        <f t="shared" si="1"/>
        <v>3.625</v>
      </c>
      <c r="H21" s="5"/>
      <c r="I21" s="21"/>
      <c r="J21" s="15">
        <f t="shared" si="2"/>
        <v>0</v>
      </c>
    </row>
    <row r="22" spans="1:10" hidden="1" outlineLevel="1">
      <c r="A22" s="105"/>
      <c r="B22" s="6" t="s">
        <v>41</v>
      </c>
      <c r="C22" s="6" t="s">
        <v>42</v>
      </c>
      <c r="D22" s="15">
        <v>2.35</v>
      </c>
      <c r="E22" s="15"/>
      <c r="F22" s="19">
        <f t="shared" si="0"/>
        <v>0.58750000000000002</v>
      </c>
      <c r="G22" s="16">
        <f t="shared" si="1"/>
        <v>2.9375</v>
      </c>
      <c r="H22" s="5"/>
      <c r="I22" s="21"/>
      <c r="J22" s="15">
        <f t="shared" si="2"/>
        <v>0</v>
      </c>
    </row>
    <row r="23" spans="1:10" hidden="1" outlineLevel="1">
      <c r="A23" s="105"/>
      <c r="B23" s="6" t="s">
        <v>43</v>
      </c>
      <c r="C23" s="6" t="s">
        <v>44</v>
      </c>
      <c r="D23" s="15">
        <v>0.53600000000000003</v>
      </c>
      <c r="E23" s="15"/>
      <c r="F23" s="15">
        <f t="shared" si="0"/>
        <v>0.13400000000000001</v>
      </c>
      <c r="G23" s="16">
        <f t="shared" si="1"/>
        <v>0.67</v>
      </c>
      <c r="H23" s="5"/>
      <c r="I23" s="21"/>
      <c r="J23" s="15">
        <f t="shared" si="2"/>
        <v>0</v>
      </c>
    </row>
    <row r="24" spans="1:10" hidden="1" outlineLevel="1">
      <c r="A24" s="105"/>
      <c r="B24" s="6" t="s">
        <v>45</v>
      </c>
      <c r="C24" s="6" t="s">
        <v>46</v>
      </c>
      <c r="D24" s="15">
        <v>2.35</v>
      </c>
      <c r="E24" s="15"/>
      <c r="F24" s="19">
        <f t="shared" si="0"/>
        <v>0.58750000000000002</v>
      </c>
      <c r="G24" s="16">
        <f t="shared" si="1"/>
        <v>2.9375</v>
      </c>
      <c r="H24" s="5"/>
      <c r="I24" s="21"/>
      <c r="J24" s="15">
        <f t="shared" si="2"/>
        <v>0</v>
      </c>
    </row>
    <row r="25" spans="1:10" hidden="1" outlineLevel="1">
      <c r="A25" s="105"/>
      <c r="B25" s="6" t="s">
        <v>47</v>
      </c>
      <c r="C25" s="6" t="s">
        <v>48</v>
      </c>
      <c r="D25" s="15">
        <v>26.07</v>
      </c>
      <c r="E25" s="15"/>
      <c r="F25" s="15">
        <f t="shared" si="0"/>
        <v>6.5175000000000001</v>
      </c>
      <c r="G25" s="16">
        <f t="shared" si="1"/>
        <v>32.587499999999999</v>
      </c>
      <c r="H25" s="5"/>
      <c r="I25" s="21"/>
      <c r="J25" s="15">
        <f t="shared" si="2"/>
        <v>0</v>
      </c>
    </row>
    <row r="26" spans="1:10" hidden="1" outlineLevel="1">
      <c r="A26" s="105"/>
      <c r="B26" s="6" t="s">
        <v>49</v>
      </c>
      <c r="C26" s="6" t="s">
        <v>50</v>
      </c>
      <c r="D26" s="15">
        <v>28.5</v>
      </c>
      <c r="E26" s="15"/>
      <c r="F26" s="19">
        <f t="shared" si="0"/>
        <v>7.125</v>
      </c>
      <c r="G26" s="16">
        <f t="shared" si="1"/>
        <v>35.625</v>
      </c>
      <c r="H26" s="5"/>
      <c r="I26" s="21"/>
      <c r="J26" s="15">
        <f t="shared" si="2"/>
        <v>0</v>
      </c>
    </row>
    <row r="27" spans="1:10" hidden="1" outlineLevel="1">
      <c r="A27" s="105"/>
      <c r="B27" s="6" t="s">
        <v>4484</v>
      </c>
      <c r="C27" s="6" t="s">
        <v>52</v>
      </c>
      <c r="D27" s="15">
        <v>1.62</v>
      </c>
      <c r="E27" s="15"/>
      <c r="F27" s="15">
        <f t="shared" si="0"/>
        <v>0.40500000000000003</v>
      </c>
      <c r="G27" s="16">
        <f t="shared" si="1"/>
        <v>2.0250000000000004</v>
      </c>
      <c r="H27" s="5"/>
      <c r="I27" s="21"/>
      <c r="J27" s="15">
        <f t="shared" si="2"/>
        <v>0</v>
      </c>
    </row>
    <row r="28" spans="1:10" hidden="1" outlineLevel="1">
      <c r="A28" s="105"/>
      <c r="B28" s="6" t="s">
        <v>53</v>
      </c>
      <c r="C28" s="6" t="s">
        <v>54</v>
      </c>
      <c r="D28" s="15">
        <v>1.96</v>
      </c>
      <c r="E28" s="15"/>
      <c r="F28" s="19">
        <f t="shared" si="0"/>
        <v>0.49</v>
      </c>
      <c r="G28" s="16">
        <f t="shared" si="1"/>
        <v>2.4500000000000002</v>
      </c>
      <c r="H28" s="5"/>
      <c r="I28" s="21"/>
      <c r="J28" s="15">
        <f t="shared" si="2"/>
        <v>0</v>
      </c>
    </row>
    <row r="29" spans="1:10" hidden="1" outlineLevel="1">
      <c r="A29" s="105"/>
      <c r="B29" s="6" t="s">
        <v>55</v>
      </c>
      <c r="C29" s="6" t="s">
        <v>56</v>
      </c>
      <c r="D29" s="15">
        <v>2.31</v>
      </c>
      <c r="E29" s="15"/>
      <c r="F29" s="15">
        <f t="shared" si="0"/>
        <v>0.57750000000000001</v>
      </c>
      <c r="G29" s="16">
        <f t="shared" si="1"/>
        <v>2.8875000000000002</v>
      </c>
      <c r="H29" s="5"/>
      <c r="I29" s="21"/>
      <c r="J29" s="15">
        <f t="shared" si="2"/>
        <v>0</v>
      </c>
    </row>
    <row r="30" spans="1:10" hidden="1" outlineLevel="1">
      <c r="A30" s="105"/>
      <c r="B30" s="6" t="s">
        <v>57</v>
      </c>
      <c r="C30" s="6" t="s">
        <v>58</v>
      </c>
      <c r="D30" s="15">
        <v>2.68</v>
      </c>
      <c r="E30" s="15"/>
      <c r="F30" s="19">
        <f t="shared" si="0"/>
        <v>0.67</v>
      </c>
      <c r="G30" s="16">
        <f t="shared" si="1"/>
        <v>3.35</v>
      </c>
      <c r="H30" s="5"/>
      <c r="I30" s="21"/>
      <c r="J30" s="15">
        <f t="shared" si="2"/>
        <v>0</v>
      </c>
    </row>
    <row r="31" spans="1:10" hidden="1" outlineLevel="1">
      <c r="A31" s="105"/>
      <c r="B31" s="6" t="s">
        <v>59</v>
      </c>
      <c r="C31" s="6" t="s">
        <v>60</v>
      </c>
      <c r="D31" s="15">
        <v>2.97</v>
      </c>
      <c r="E31" s="15"/>
      <c r="F31" s="15">
        <f t="shared" si="0"/>
        <v>0.74250000000000005</v>
      </c>
      <c r="G31" s="16">
        <f t="shared" si="1"/>
        <v>3.7125000000000004</v>
      </c>
      <c r="H31" s="5"/>
      <c r="I31" s="21"/>
      <c r="J31" s="15">
        <f t="shared" si="2"/>
        <v>0</v>
      </c>
    </row>
    <row r="32" spans="1:10" hidden="1" outlineLevel="1">
      <c r="A32" s="105"/>
      <c r="B32" s="6" t="s">
        <v>61</v>
      </c>
      <c r="C32" s="6" t="s">
        <v>62</v>
      </c>
      <c r="D32" s="15">
        <v>3.32</v>
      </c>
      <c r="E32" s="15"/>
      <c r="F32" s="19">
        <f t="shared" si="0"/>
        <v>0.83</v>
      </c>
      <c r="G32" s="16">
        <f t="shared" si="1"/>
        <v>4.1499999999999995</v>
      </c>
      <c r="H32" s="5"/>
      <c r="I32" s="21"/>
      <c r="J32" s="15">
        <f t="shared" si="2"/>
        <v>0</v>
      </c>
    </row>
    <row r="33" spans="1:10" hidden="1" outlineLevel="1">
      <c r="A33" s="105"/>
      <c r="B33" s="6" t="s">
        <v>63</v>
      </c>
      <c r="C33" s="6" t="s">
        <v>64</v>
      </c>
      <c r="D33" s="15">
        <v>4.8499999999999996</v>
      </c>
      <c r="E33" s="15"/>
      <c r="F33" s="15">
        <f t="shared" si="0"/>
        <v>1.2124999999999999</v>
      </c>
      <c r="G33" s="16">
        <f t="shared" si="1"/>
        <v>6.0625</v>
      </c>
      <c r="H33" s="5"/>
      <c r="I33" s="21"/>
      <c r="J33" s="15">
        <f t="shared" si="2"/>
        <v>0</v>
      </c>
    </row>
    <row r="34" spans="1:10" hidden="1" outlineLevel="1">
      <c r="A34" s="105"/>
      <c r="B34" s="6" t="s">
        <v>65</v>
      </c>
      <c r="C34" s="6" t="s">
        <v>66</v>
      </c>
      <c r="D34" s="15">
        <v>5.51</v>
      </c>
      <c r="E34" s="15"/>
      <c r="F34" s="19">
        <f t="shared" si="0"/>
        <v>1.3774999999999999</v>
      </c>
      <c r="G34" s="16">
        <f t="shared" si="1"/>
        <v>6.8874999999999993</v>
      </c>
      <c r="H34" s="5"/>
      <c r="I34" s="21"/>
      <c r="J34" s="15">
        <f t="shared" si="2"/>
        <v>0</v>
      </c>
    </row>
    <row r="35" spans="1:10" hidden="1" outlineLevel="1">
      <c r="A35" s="105"/>
      <c r="B35" s="6" t="s">
        <v>4485</v>
      </c>
      <c r="C35" s="6" t="s">
        <v>4486</v>
      </c>
      <c r="D35" s="15">
        <v>4.22</v>
      </c>
      <c r="E35" s="15"/>
      <c r="F35" s="19">
        <f t="shared" si="0"/>
        <v>1.0549999999999999</v>
      </c>
      <c r="G35" s="16">
        <f t="shared" si="1"/>
        <v>5.2749999999999995</v>
      </c>
      <c r="H35" s="5"/>
      <c r="I35" s="21"/>
      <c r="J35" s="15">
        <f t="shared" si="2"/>
        <v>0</v>
      </c>
    </row>
    <row r="36" spans="1:10" hidden="1" outlineLevel="1">
      <c r="A36" s="105"/>
      <c r="B36" s="6" t="s">
        <v>51</v>
      </c>
      <c r="C36" s="6" t="s">
        <v>67</v>
      </c>
      <c r="D36" s="15">
        <v>1.03</v>
      </c>
      <c r="E36" s="15"/>
      <c r="F36" s="15">
        <f t="shared" si="0"/>
        <v>0.25750000000000001</v>
      </c>
      <c r="G36" s="16">
        <f t="shared" si="1"/>
        <v>1.2875000000000001</v>
      </c>
      <c r="H36" s="5"/>
      <c r="I36" s="21"/>
      <c r="J36" s="15">
        <f t="shared" si="2"/>
        <v>0</v>
      </c>
    </row>
    <row r="37" spans="1:10" hidden="1" outlineLevel="1">
      <c r="A37" s="105"/>
      <c r="B37" s="6" t="s">
        <v>68</v>
      </c>
      <c r="C37" s="6" t="s">
        <v>69</v>
      </c>
      <c r="D37" s="19">
        <v>13.36</v>
      </c>
      <c r="E37" s="15"/>
      <c r="F37" s="19">
        <f t="shared" si="0"/>
        <v>3.34</v>
      </c>
      <c r="G37" s="16">
        <f t="shared" si="1"/>
        <v>16.7</v>
      </c>
      <c r="H37" s="5"/>
      <c r="I37" s="21"/>
      <c r="J37" s="15">
        <f t="shared" si="2"/>
        <v>0</v>
      </c>
    </row>
    <row r="38" spans="1:10" hidden="1" outlineLevel="1">
      <c r="A38" s="105"/>
      <c r="B38" s="6" t="s">
        <v>70</v>
      </c>
      <c r="C38" s="6" t="s">
        <v>71</v>
      </c>
      <c r="D38" s="15">
        <v>21.93</v>
      </c>
      <c r="E38" s="15"/>
      <c r="F38" s="15">
        <f t="shared" si="0"/>
        <v>5.4824999999999999</v>
      </c>
      <c r="G38" s="16">
        <f t="shared" si="1"/>
        <v>27.412500000000001</v>
      </c>
      <c r="H38" s="5"/>
      <c r="I38" s="21"/>
      <c r="J38" s="15">
        <f t="shared" si="2"/>
        <v>0</v>
      </c>
    </row>
    <row r="39" spans="1:10" hidden="1" outlineLevel="1">
      <c r="A39" s="105"/>
      <c r="B39" s="6" t="s">
        <v>72</v>
      </c>
      <c r="C39" s="6" t="s">
        <v>73</v>
      </c>
      <c r="D39" s="15">
        <v>6.53</v>
      </c>
      <c r="E39" s="15"/>
      <c r="F39" s="19">
        <f t="shared" si="0"/>
        <v>1.6325000000000001</v>
      </c>
      <c r="G39" s="16">
        <f t="shared" si="1"/>
        <v>8.1624999999999996</v>
      </c>
      <c r="H39" s="5"/>
      <c r="I39" s="5"/>
      <c r="J39" s="15">
        <f t="shared" si="2"/>
        <v>0</v>
      </c>
    </row>
    <row r="40" spans="1:10" hidden="1" outlineLevel="1">
      <c r="A40" s="105"/>
      <c r="B40" s="6" t="s">
        <v>74</v>
      </c>
      <c r="C40" s="6" t="s">
        <v>75</v>
      </c>
      <c r="D40" s="15">
        <v>7.37</v>
      </c>
      <c r="E40" s="15"/>
      <c r="F40" s="15">
        <f t="shared" si="0"/>
        <v>1.8425</v>
      </c>
      <c r="G40" s="16">
        <f t="shared" si="1"/>
        <v>9.2125000000000004</v>
      </c>
      <c r="H40" s="5"/>
      <c r="I40" s="5"/>
      <c r="J40" s="15">
        <f t="shared" si="2"/>
        <v>0</v>
      </c>
    </row>
    <row r="41" spans="1:10" hidden="1" outlineLevel="1">
      <c r="A41" s="105"/>
      <c r="B41" s="6" t="s">
        <v>76</v>
      </c>
      <c r="C41" s="6" t="s">
        <v>77</v>
      </c>
      <c r="D41" s="15">
        <v>8.52</v>
      </c>
      <c r="E41" s="15"/>
      <c r="F41" s="19">
        <f t="shared" si="0"/>
        <v>2.13</v>
      </c>
      <c r="G41" s="16">
        <f t="shared" si="1"/>
        <v>10.649999999999999</v>
      </c>
      <c r="H41" s="5"/>
      <c r="I41" s="5"/>
      <c r="J41" s="15">
        <f t="shared" si="2"/>
        <v>0</v>
      </c>
    </row>
    <row r="42" spans="1:10" hidden="1" outlineLevel="1">
      <c r="A42" s="105"/>
      <c r="B42" s="6" t="s">
        <v>70</v>
      </c>
      <c r="C42" s="6" t="s">
        <v>71</v>
      </c>
      <c r="D42" s="15">
        <v>21.93</v>
      </c>
      <c r="E42" s="15"/>
      <c r="F42" s="15">
        <f t="shared" si="0"/>
        <v>5.4824999999999999</v>
      </c>
      <c r="G42" s="16">
        <f t="shared" si="1"/>
        <v>27.412500000000001</v>
      </c>
      <c r="H42" s="5"/>
      <c r="I42" s="5"/>
      <c r="J42" s="15">
        <f t="shared" si="2"/>
        <v>0</v>
      </c>
    </row>
    <row r="43" spans="1:10" hidden="1" outlineLevel="1">
      <c r="A43" s="105"/>
      <c r="B43" s="6" t="s">
        <v>78</v>
      </c>
      <c r="C43" s="6" t="s">
        <v>79</v>
      </c>
      <c r="D43" s="15">
        <v>0.23</v>
      </c>
      <c r="E43" s="15"/>
      <c r="F43" s="19">
        <f t="shared" si="0"/>
        <v>5.7500000000000002E-2</v>
      </c>
      <c r="G43" s="16">
        <f t="shared" si="1"/>
        <v>0.28750000000000003</v>
      </c>
      <c r="H43" s="5"/>
      <c r="I43" s="5"/>
      <c r="J43" s="15">
        <f t="shared" si="2"/>
        <v>0</v>
      </c>
    </row>
    <row r="44" spans="1:10" hidden="1" outlineLevel="1">
      <c r="A44" s="105"/>
      <c r="B44" s="6" t="s">
        <v>4487</v>
      </c>
      <c r="C44" s="6" t="s">
        <v>4488</v>
      </c>
      <c r="D44" s="15">
        <v>1.1000000000000001</v>
      </c>
      <c r="E44" s="15"/>
      <c r="F44" s="19">
        <f t="shared" si="0"/>
        <v>0.27500000000000002</v>
      </c>
      <c r="G44" s="16">
        <f t="shared" si="1"/>
        <v>1.375</v>
      </c>
      <c r="H44" s="5"/>
      <c r="I44" s="5"/>
      <c r="J44" s="15">
        <f t="shared" si="2"/>
        <v>0</v>
      </c>
    </row>
    <row r="45" spans="1:10" hidden="1" outlineLevel="1">
      <c r="A45" s="105"/>
      <c r="B45" s="6" t="s">
        <v>138</v>
      </c>
      <c r="C45" s="6" t="s">
        <v>139</v>
      </c>
      <c r="D45" s="15">
        <v>1.54</v>
      </c>
      <c r="E45" s="15"/>
      <c r="F45" s="19">
        <f t="shared" si="0"/>
        <v>0.38500000000000001</v>
      </c>
      <c r="G45" s="16">
        <f t="shared" si="1"/>
        <v>1.925</v>
      </c>
      <c r="H45" s="5"/>
      <c r="I45" s="5"/>
      <c r="J45" s="15">
        <f t="shared" si="2"/>
        <v>0</v>
      </c>
    </row>
    <row r="46" spans="1:10" hidden="1" outlineLevel="1">
      <c r="A46" s="105"/>
      <c r="B46" s="6" t="s">
        <v>80</v>
      </c>
      <c r="C46" s="6" t="s">
        <v>81</v>
      </c>
      <c r="D46" s="15">
        <v>0.55000000000000004</v>
      </c>
      <c r="E46" s="15"/>
      <c r="F46" s="15">
        <f t="shared" si="0"/>
        <v>0.13750000000000001</v>
      </c>
      <c r="G46" s="16">
        <f t="shared" si="1"/>
        <v>0.6875</v>
      </c>
      <c r="H46" s="5"/>
      <c r="I46" s="5"/>
      <c r="J46" s="15">
        <f t="shared" si="2"/>
        <v>0</v>
      </c>
    </row>
    <row r="47" spans="1:10" hidden="1" outlineLevel="1">
      <c r="A47" s="105"/>
      <c r="B47" s="6" t="s">
        <v>82</v>
      </c>
      <c r="C47" s="6" t="s">
        <v>82</v>
      </c>
      <c r="D47" s="15">
        <v>5.91</v>
      </c>
      <c r="E47" s="15"/>
      <c r="F47" s="19">
        <f t="shared" si="0"/>
        <v>1.4775</v>
      </c>
      <c r="G47" s="16">
        <f t="shared" si="1"/>
        <v>7.3875000000000002</v>
      </c>
      <c r="H47" s="5"/>
      <c r="I47" s="5"/>
      <c r="J47" s="15">
        <f t="shared" si="2"/>
        <v>0</v>
      </c>
    </row>
    <row r="48" spans="1:10" hidden="1" outlineLevel="1">
      <c r="A48" s="105"/>
      <c r="B48" s="6" t="s">
        <v>83</v>
      </c>
      <c r="C48" s="6" t="s">
        <v>84</v>
      </c>
      <c r="D48" s="15">
        <v>54</v>
      </c>
      <c r="E48" s="15"/>
      <c r="F48" s="15">
        <f t="shared" si="0"/>
        <v>13.5</v>
      </c>
      <c r="G48" s="16">
        <f t="shared" si="1"/>
        <v>67.5</v>
      </c>
      <c r="H48" s="5"/>
      <c r="I48" s="5"/>
      <c r="J48" s="15">
        <f t="shared" si="2"/>
        <v>0</v>
      </c>
    </row>
    <row r="49" spans="1:10" hidden="1" outlineLevel="1">
      <c r="A49" s="105"/>
      <c r="B49" s="6" t="s">
        <v>85</v>
      </c>
      <c r="C49" s="6" t="s">
        <v>86</v>
      </c>
      <c r="D49" s="15">
        <v>1.39</v>
      </c>
      <c r="E49" s="15"/>
      <c r="F49" s="19">
        <f t="shared" si="0"/>
        <v>0.34749999999999998</v>
      </c>
      <c r="G49" s="16">
        <f t="shared" si="1"/>
        <v>1.7374999999999998</v>
      </c>
      <c r="H49" s="5"/>
      <c r="I49" s="5"/>
      <c r="J49" s="15">
        <f t="shared" si="2"/>
        <v>0</v>
      </c>
    </row>
    <row r="50" spans="1:10" hidden="1" outlineLevel="1">
      <c r="A50" s="105"/>
      <c r="B50" s="6" t="s">
        <v>87</v>
      </c>
      <c r="C50" s="6" t="s">
        <v>88</v>
      </c>
      <c r="D50" s="15">
        <v>0.9</v>
      </c>
      <c r="E50" s="15"/>
      <c r="F50" s="15">
        <f t="shared" si="0"/>
        <v>0.22500000000000001</v>
      </c>
      <c r="G50" s="16">
        <f t="shared" si="1"/>
        <v>1.125</v>
      </c>
      <c r="H50" s="5"/>
      <c r="I50" s="5"/>
      <c r="J50" s="15">
        <f t="shared" si="2"/>
        <v>0</v>
      </c>
    </row>
    <row r="51" spans="1:10" hidden="1" outlineLevel="1">
      <c r="A51" s="107"/>
      <c r="B51" s="10" t="s">
        <v>89</v>
      </c>
      <c r="C51" s="12"/>
      <c r="D51" s="11"/>
      <c r="E51" s="11"/>
      <c r="F51" s="12"/>
      <c r="G51" s="12"/>
      <c r="H51" s="12"/>
      <c r="I51" s="12"/>
      <c r="J51" s="15">
        <f t="shared" si="2"/>
        <v>0</v>
      </c>
    </row>
    <row r="52" spans="1:10" hidden="1" outlineLevel="1">
      <c r="A52" s="105"/>
      <c r="B52" s="6" t="s">
        <v>90</v>
      </c>
      <c r="C52" s="6" t="s">
        <v>91</v>
      </c>
      <c r="D52" s="19">
        <v>14.2</v>
      </c>
      <c r="E52" s="11"/>
      <c r="F52" s="19">
        <f t="shared" ref="F52:F64" si="3">D52*25%</f>
        <v>3.55</v>
      </c>
      <c r="G52" s="24">
        <f t="shared" ref="G52:G64" si="4">F52+D52</f>
        <v>17.75</v>
      </c>
      <c r="H52" s="12"/>
      <c r="I52" s="5"/>
      <c r="J52" s="15">
        <f t="shared" si="2"/>
        <v>0</v>
      </c>
    </row>
    <row r="53" spans="1:10" hidden="1" outlineLevel="1">
      <c r="A53" s="105"/>
      <c r="B53" s="6" t="s">
        <v>92</v>
      </c>
      <c r="C53" s="6" t="s">
        <v>93</v>
      </c>
      <c r="D53" s="15">
        <v>8.1999999999999993</v>
      </c>
      <c r="E53" s="11"/>
      <c r="F53" s="15">
        <f t="shared" si="3"/>
        <v>2.0499999999999998</v>
      </c>
      <c r="G53" s="16">
        <f t="shared" si="4"/>
        <v>10.25</v>
      </c>
      <c r="H53" s="12"/>
      <c r="I53" s="5"/>
      <c r="J53" s="15">
        <f t="shared" si="2"/>
        <v>0</v>
      </c>
    </row>
    <row r="54" spans="1:10" hidden="1" outlineLevel="1">
      <c r="A54" s="105"/>
      <c r="B54" s="6" t="s">
        <v>94</v>
      </c>
      <c r="C54" s="6" t="s">
        <v>95</v>
      </c>
      <c r="D54" s="15">
        <v>1.31</v>
      </c>
      <c r="E54" s="11"/>
      <c r="F54" s="19">
        <f t="shared" si="3"/>
        <v>0.32750000000000001</v>
      </c>
      <c r="G54" s="16">
        <f t="shared" si="4"/>
        <v>1.6375000000000002</v>
      </c>
      <c r="H54" s="12"/>
      <c r="I54" s="5"/>
      <c r="J54" s="15">
        <f t="shared" si="2"/>
        <v>0</v>
      </c>
    </row>
    <row r="55" spans="1:10" hidden="1" outlineLevel="1">
      <c r="A55" s="105"/>
      <c r="B55" s="6" t="s">
        <v>96</v>
      </c>
      <c r="C55" s="6" t="s">
        <v>97</v>
      </c>
      <c r="D55" s="15">
        <v>1.5</v>
      </c>
      <c r="E55" s="11"/>
      <c r="F55" s="15">
        <f t="shared" si="3"/>
        <v>0.375</v>
      </c>
      <c r="G55" s="16">
        <f t="shared" si="4"/>
        <v>1.875</v>
      </c>
      <c r="H55" s="12"/>
      <c r="I55" s="5"/>
      <c r="J55" s="15">
        <f t="shared" si="2"/>
        <v>0</v>
      </c>
    </row>
    <row r="56" spans="1:10" hidden="1" outlineLevel="1">
      <c r="A56" s="105"/>
      <c r="B56" s="6" t="s">
        <v>98</v>
      </c>
      <c r="C56" s="6" t="s">
        <v>99</v>
      </c>
      <c r="D56" s="15">
        <v>1.35</v>
      </c>
      <c r="E56" s="11"/>
      <c r="F56" s="19">
        <f t="shared" si="3"/>
        <v>0.33750000000000002</v>
      </c>
      <c r="G56" s="16">
        <f t="shared" si="4"/>
        <v>1.6875</v>
      </c>
      <c r="H56" s="12"/>
      <c r="I56" s="5"/>
      <c r="J56" s="15">
        <f t="shared" si="2"/>
        <v>0</v>
      </c>
    </row>
    <row r="57" spans="1:10" hidden="1" outlineLevel="1">
      <c r="A57" s="105"/>
      <c r="B57" s="6" t="s">
        <v>100</v>
      </c>
      <c r="C57" s="6" t="s">
        <v>101</v>
      </c>
      <c r="D57" s="15">
        <v>10.73</v>
      </c>
      <c r="E57" s="11"/>
      <c r="F57" s="15">
        <f t="shared" si="3"/>
        <v>2.6825000000000001</v>
      </c>
      <c r="G57" s="16">
        <f t="shared" si="4"/>
        <v>13.412500000000001</v>
      </c>
      <c r="H57" s="12"/>
      <c r="I57" s="5"/>
      <c r="J57" s="15">
        <f t="shared" si="2"/>
        <v>0</v>
      </c>
    </row>
    <row r="58" spans="1:10" hidden="1" outlineLevel="1">
      <c r="A58" s="105"/>
      <c r="B58" s="6" t="s">
        <v>102</v>
      </c>
      <c r="C58" s="6" t="s">
        <v>103</v>
      </c>
      <c r="D58" s="19">
        <v>0.35</v>
      </c>
      <c r="E58" s="11"/>
      <c r="F58" s="19">
        <f t="shared" si="3"/>
        <v>8.7499999999999994E-2</v>
      </c>
      <c r="G58" s="24">
        <f t="shared" si="4"/>
        <v>0.4375</v>
      </c>
      <c r="H58" s="12"/>
      <c r="I58" s="5"/>
      <c r="J58" s="15">
        <f t="shared" si="2"/>
        <v>0</v>
      </c>
    </row>
    <row r="59" spans="1:10" hidden="1" outlineLevel="1">
      <c r="A59" s="105"/>
      <c r="B59" s="6" t="s">
        <v>104</v>
      </c>
      <c r="C59" s="6" t="s">
        <v>105</v>
      </c>
      <c r="D59" s="15">
        <v>0.21</v>
      </c>
      <c r="E59" s="15"/>
      <c r="F59" s="15">
        <f t="shared" si="3"/>
        <v>5.2499999999999998E-2</v>
      </c>
      <c r="G59" s="16">
        <f t="shared" si="4"/>
        <v>0.26250000000000001</v>
      </c>
      <c r="H59" s="5"/>
      <c r="I59" s="5"/>
      <c r="J59" s="15">
        <f t="shared" ref="J59:J67" si="5">SUM(I59*G59)</f>
        <v>0</v>
      </c>
    </row>
    <row r="60" spans="1:10" hidden="1" outlineLevel="1">
      <c r="A60" s="105"/>
      <c r="B60" s="6" t="s">
        <v>106</v>
      </c>
      <c r="C60" s="6" t="s">
        <v>107</v>
      </c>
      <c r="D60" s="15">
        <v>0.81</v>
      </c>
      <c r="E60" s="15"/>
      <c r="F60" s="19">
        <f t="shared" si="3"/>
        <v>0.20250000000000001</v>
      </c>
      <c r="G60" s="16">
        <f t="shared" si="4"/>
        <v>1.0125000000000002</v>
      </c>
      <c r="H60" s="5"/>
      <c r="I60" s="5"/>
      <c r="J60" s="15">
        <f t="shared" si="5"/>
        <v>0</v>
      </c>
    </row>
    <row r="61" spans="1:10" hidden="1" outlineLevel="1">
      <c r="A61" s="105"/>
      <c r="B61" s="6" t="s">
        <v>108</v>
      </c>
      <c r="C61" s="6" t="s">
        <v>109</v>
      </c>
      <c r="D61" s="15">
        <v>2</v>
      </c>
      <c r="E61" s="15"/>
      <c r="F61" s="15">
        <f t="shared" si="3"/>
        <v>0.5</v>
      </c>
      <c r="G61" s="16">
        <f t="shared" si="4"/>
        <v>2.5</v>
      </c>
      <c r="H61" s="5"/>
      <c r="I61" s="5"/>
      <c r="J61" s="15">
        <f t="shared" si="5"/>
        <v>0</v>
      </c>
    </row>
    <row r="62" spans="1:10" hidden="1" outlineLevel="1">
      <c r="A62" s="105"/>
      <c r="B62" s="6" t="s">
        <v>110</v>
      </c>
      <c r="C62" s="6" t="s">
        <v>111</v>
      </c>
      <c r="D62" s="15">
        <v>0.1</v>
      </c>
      <c r="E62" s="15"/>
      <c r="F62" s="19">
        <f t="shared" si="3"/>
        <v>2.5000000000000001E-2</v>
      </c>
      <c r="G62" s="16">
        <f t="shared" si="4"/>
        <v>0.125</v>
      </c>
      <c r="H62" s="5"/>
      <c r="I62" s="5"/>
      <c r="J62" s="15">
        <f t="shared" si="5"/>
        <v>0</v>
      </c>
    </row>
    <row r="63" spans="1:10" hidden="1" outlineLevel="1">
      <c r="A63" s="105"/>
      <c r="B63" s="6" t="s">
        <v>112</v>
      </c>
      <c r="C63" s="6" t="s">
        <v>113</v>
      </c>
      <c r="D63" s="15">
        <v>4.57</v>
      </c>
      <c r="E63" s="15"/>
      <c r="F63" s="15">
        <f t="shared" si="3"/>
        <v>1.1425000000000001</v>
      </c>
      <c r="G63" s="16">
        <f t="shared" si="4"/>
        <v>5.7125000000000004</v>
      </c>
      <c r="H63" s="5"/>
      <c r="I63" s="5"/>
      <c r="J63" s="15">
        <f t="shared" si="5"/>
        <v>0</v>
      </c>
    </row>
    <row r="64" spans="1:10" hidden="1" outlineLevel="1">
      <c r="A64" s="105"/>
      <c r="B64" s="6" t="s">
        <v>4437</v>
      </c>
      <c r="C64" s="6" t="s">
        <v>114</v>
      </c>
      <c r="D64" s="15">
        <v>33.15</v>
      </c>
      <c r="E64" s="15"/>
      <c r="F64" s="19">
        <f t="shared" si="3"/>
        <v>8.2874999999999996</v>
      </c>
      <c r="G64" s="16">
        <f t="shared" si="4"/>
        <v>41.4375</v>
      </c>
      <c r="H64" s="5"/>
      <c r="I64" s="5"/>
      <c r="J64" s="15">
        <f t="shared" si="5"/>
        <v>0</v>
      </c>
    </row>
    <row r="65" spans="1:10" hidden="1" outlineLevel="1">
      <c r="A65" s="105"/>
      <c r="B65" s="5"/>
      <c r="C65" s="5"/>
      <c r="D65" s="15">
        <v>0</v>
      </c>
      <c r="E65" s="15"/>
      <c r="F65" s="15">
        <v>0</v>
      </c>
      <c r="G65" s="15">
        <v>0</v>
      </c>
      <c r="H65" s="15"/>
      <c r="I65" s="5"/>
      <c r="J65" s="15">
        <v>0</v>
      </c>
    </row>
    <row r="66" spans="1:10" hidden="1" outlineLevel="1">
      <c r="A66" s="105"/>
      <c r="B66" s="5"/>
      <c r="C66" s="5"/>
      <c r="D66" s="15">
        <v>0</v>
      </c>
      <c r="E66" s="15"/>
      <c r="F66" s="15">
        <v>0</v>
      </c>
      <c r="G66" s="15">
        <v>0</v>
      </c>
      <c r="H66" s="5"/>
      <c r="I66" s="5"/>
      <c r="J66" s="15">
        <f t="shared" si="5"/>
        <v>0</v>
      </c>
    </row>
    <row r="67" spans="1:10" hidden="1" outlineLevel="1">
      <c r="A67" s="105"/>
      <c r="B67" s="5"/>
      <c r="C67" s="5"/>
      <c r="D67" s="15">
        <v>0</v>
      </c>
      <c r="E67" s="15"/>
      <c r="F67" s="15">
        <v>0</v>
      </c>
      <c r="G67" s="15">
        <v>0</v>
      </c>
      <c r="H67" s="5"/>
      <c r="I67" s="5"/>
      <c r="J67" s="15">
        <f t="shared" si="5"/>
        <v>0</v>
      </c>
    </row>
    <row r="68" spans="1:10" hidden="1" outlineLevel="1">
      <c r="A68" s="107"/>
      <c r="B68" s="122" t="s">
        <v>115</v>
      </c>
      <c r="C68" s="123"/>
      <c r="D68" s="124"/>
      <c r="E68" s="124"/>
      <c r="F68" s="123"/>
      <c r="G68" s="123"/>
      <c r="H68" s="123"/>
      <c r="I68" s="123"/>
      <c r="J68" s="123"/>
    </row>
    <row r="69" spans="1:10" hidden="1" outlineLevel="1">
      <c r="A69" s="105"/>
      <c r="B69" s="6" t="s">
        <v>116</v>
      </c>
      <c r="C69" s="6" t="s">
        <v>117</v>
      </c>
      <c r="D69" s="15">
        <v>44.66</v>
      </c>
      <c r="E69" s="15"/>
      <c r="F69" s="19">
        <f t="shared" ref="F69:F81" si="6">D69*25%</f>
        <v>11.164999999999999</v>
      </c>
      <c r="G69" s="16">
        <f t="shared" ref="G69:G82" si="7">F69+D69</f>
        <v>55.824999999999996</v>
      </c>
      <c r="H69" s="5"/>
      <c r="I69" s="5"/>
      <c r="J69" s="15">
        <f t="shared" ref="J69:J82" si="8">SUM(I69*G69)</f>
        <v>0</v>
      </c>
    </row>
    <row r="70" spans="1:10" hidden="1" outlineLevel="1">
      <c r="A70" s="105"/>
      <c r="B70" s="6" t="s">
        <v>118</v>
      </c>
      <c r="C70" s="6" t="s">
        <v>119</v>
      </c>
      <c r="D70" s="15">
        <v>49.68</v>
      </c>
      <c r="E70" s="15"/>
      <c r="F70" s="15">
        <f t="shared" si="6"/>
        <v>12.42</v>
      </c>
      <c r="G70" s="16">
        <f t="shared" si="7"/>
        <v>62.1</v>
      </c>
      <c r="H70" s="5"/>
      <c r="I70" s="5"/>
      <c r="J70" s="15">
        <f t="shared" si="8"/>
        <v>0</v>
      </c>
    </row>
    <row r="71" spans="1:10" hidden="1" outlineLevel="1">
      <c r="A71" s="105"/>
      <c r="B71" s="6" t="s">
        <v>120</v>
      </c>
      <c r="C71" s="6" t="s">
        <v>121</v>
      </c>
      <c r="D71" s="15">
        <v>2.0099999999999998</v>
      </c>
      <c r="E71" s="15"/>
      <c r="F71" s="19">
        <f t="shared" si="6"/>
        <v>0.50249999999999995</v>
      </c>
      <c r="G71" s="16">
        <f t="shared" si="7"/>
        <v>2.5124999999999997</v>
      </c>
      <c r="H71" s="5"/>
      <c r="I71" s="5"/>
      <c r="J71" s="15">
        <f t="shared" si="8"/>
        <v>0</v>
      </c>
    </row>
    <row r="72" spans="1:10" hidden="1" outlineLevel="1">
      <c r="A72" s="105"/>
      <c r="B72" s="6" t="s">
        <v>122</v>
      </c>
      <c r="C72" s="6" t="s">
        <v>123</v>
      </c>
      <c r="D72" s="15">
        <v>92.53</v>
      </c>
      <c r="E72" s="15"/>
      <c r="F72" s="15">
        <f t="shared" si="6"/>
        <v>23.1325</v>
      </c>
      <c r="G72" s="16">
        <f t="shared" si="7"/>
        <v>115.66249999999999</v>
      </c>
      <c r="H72" s="5"/>
      <c r="I72" s="5"/>
      <c r="J72" s="15">
        <f t="shared" si="8"/>
        <v>0</v>
      </c>
    </row>
    <row r="73" spans="1:10" hidden="1" outlineLevel="1">
      <c r="A73" s="105"/>
      <c r="B73" s="6" t="s">
        <v>124</v>
      </c>
      <c r="C73" s="6" t="s">
        <v>124</v>
      </c>
      <c r="D73" s="15">
        <v>3.47</v>
      </c>
      <c r="E73" s="15"/>
      <c r="F73" s="19">
        <f t="shared" si="6"/>
        <v>0.86750000000000005</v>
      </c>
      <c r="G73" s="16">
        <f t="shared" si="7"/>
        <v>4.3375000000000004</v>
      </c>
      <c r="H73" s="5"/>
      <c r="I73" s="5"/>
      <c r="J73" s="15">
        <f t="shared" si="8"/>
        <v>0</v>
      </c>
    </row>
    <row r="74" spans="1:10" hidden="1" outlineLevel="1">
      <c r="A74" s="105"/>
      <c r="B74" s="6" t="s">
        <v>125</v>
      </c>
      <c r="C74" s="6" t="s">
        <v>126</v>
      </c>
      <c r="D74" s="15">
        <v>2.13</v>
      </c>
      <c r="E74" s="15"/>
      <c r="F74" s="15">
        <f t="shared" si="6"/>
        <v>0.53249999999999997</v>
      </c>
      <c r="G74" s="16">
        <f t="shared" si="7"/>
        <v>2.6624999999999996</v>
      </c>
      <c r="H74" s="5"/>
      <c r="I74" s="5"/>
      <c r="J74" s="15">
        <f t="shared" si="8"/>
        <v>0</v>
      </c>
    </row>
    <row r="75" spans="1:10" hidden="1" outlineLevel="1">
      <c r="A75" s="105"/>
      <c r="B75" s="6" t="s">
        <v>127</v>
      </c>
      <c r="C75" s="6" t="s">
        <v>128</v>
      </c>
      <c r="D75" s="15">
        <v>2.94</v>
      </c>
      <c r="E75" s="15"/>
      <c r="F75" s="19">
        <f t="shared" si="6"/>
        <v>0.73499999999999999</v>
      </c>
      <c r="G75" s="16">
        <f t="shared" si="7"/>
        <v>3.6749999999999998</v>
      </c>
      <c r="H75" s="5"/>
      <c r="I75" s="5"/>
      <c r="J75" s="15">
        <f t="shared" si="8"/>
        <v>0</v>
      </c>
    </row>
    <row r="76" spans="1:10" hidden="1" outlineLevel="1">
      <c r="A76" s="105"/>
      <c r="B76" s="6" t="s">
        <v>129</v>
      </c>
      <c r="C76" s="6" t="s">
        <v>130</v>
      </c>
      <c r="D76" s="15">
        <v>2.62</v>
      </c>
      <c r="E76" s="15"/>
      <c r="F76" s="15">
        <f t="shared" si="6"/>
        <v>0.65500000000000003</v>
      </c>
      <c r="G76" s="16">
        <f t="shared" si="7"/>
        <v>3.2750000000000004</v>
      </c>
      <c r="H76" s="5"/>
      <c r="I76" s="5"/>
      <c r="J76" s="15">
        <f t="shared" si="8"/>
        <v>0</v>
      </c>
    </row>
    <row r="77" spans="1:10" hidden="1" outlineLevel="1">
      <c r="A77" s="105"/>
      <c r="B77" s="6" t="s">
        <v>131</v>
      </c>
      <c r="C77" s="6" t="s">
        <v>131</v>
      </c>
      <c r="D77" s="15">
        <v>3.25</v>
      </c>
      <c r="E77" s="15"/>
      <c r="F77" s="19">
        <f t="shared" si="6"/>
        <v>0.8125</v>
      </c>
      <c r="G77" s="16">
        <f t="shared" si="7"/>
        <v>4.0625</v>
      </c>
      <c r="H77" s="5"/>
      <c r="I77" s="5"/>
      <c r="J77" s="15">
        <f t="shared" si="8"/>
        <v>0</v>
      </c>
    </row>
    <row r="78" spans="1:10" hidden="1" outlineLevel="1">
      <c r="A78" s="105"/>
      <c r="B78" s="6" t="s">
        <v>4436</v>
      </c>
      <c r="C78" s="6" t="s">
        <v>4436</v>
      </c>
      <c r="D78" s="15">
        <v>4.25</v>
      </c>
      <c r="E78" s="15"/>
      <c r="F78" s="19">
        <f t="shared" ref="F78" si="9">D78*25%</f>
        <v>1.0625</v>
      </c>
      <c r="G78" s="16">
        <f t="shared" ref="G78" si="10">F78+D78</f>
        <v>5.3125</v>
      </c>
      <c r="H78" s="5"/>
      <c r="I78" s="5"/>
      <c r="J78" s="15">
        <f t="shared" ref="J78" si="11">SUM(I78*G78)</f>
        <v>0</v>
      </c>
    </row>
    <row r="79" spans="1:10" hidden="1" outlineLevel="1">
      <c r="A79" s="105"/>
      <c r="B79" s="6" t="s">
        <v>132</v>
      </c>
      <c r="C79" s="6" t="s">
        <v>132</v>
      </c>
      <c r="D79" s="15">
        <v>0.65</v>
      </c>
      <c r="E79" s="15"/>
      <c r="F79" s="19">
        <f t="shared" si="6"/>
        <v>0.16250000000000001</v>
      </c>
      <c r="G79" s="16">
        <f t="shared" si="7"/>
        <v>0.8125</v>
      </c>
      <c r="H79" s="5"/>
      <c r="I79" s="5"/>
      <c r="J79" s="15">
        <f t="shared" si="8"/>
        <v>0</v>
      </c>
    </row>
    <row r="80" spans="1:10" hidden="1" outlineLevel="1">
      <c r="A80" s="105"/>
      <c r="B80" s="5" t="s">
        <v>4440</v>
      </c>
      <c r="C80" s="5" t="s">
        <v>4441</v>
      </c>
      <c r="D80" s="15">
        <v>30.82</v>
      </c>
      <c r="E80" s="15"/>
      <c r="F80" s="15">
        <f t="shared" si="6"/>
        <v>7.7050000000000001</v>
      </c>
      <c r="G80" s="16">
        <f t="shared" si="7"/>
        <v>38.524999999999999</v>
      </c>
      <c r="H80" s="5"/>
      <c r="I80" s="5"/>
      <c r="J80" s="15">
        <f t="shared" si="8"/>
        <v>0</v>
      </c>
    </row>
    <row r="81" spans="1:10" hidden="1" outlineLevel="1">
      <c r="A81" s="105"/>
      <c r="B81" s="5"/>
      <c r="C81" s="5"/>
      <c r="D81" s="15">
        <v>0</v>
      </c>
      <c r="E81" s="15"/>
      <c r="F81" s="19">
        <f t="shared" si="6"/>
        <v>0</v>
      </c>
      <c r="G81" s="16">
        <f t="shared" si="7"/>
        <v>0</v>
      </c>
      <c r="H81" s="5"/>
      <c r="I81" s="5"/>
      <c r="J81" s="15">
        <f t="shared" si="8"/>
        <v>0</v>
      </c>
    </row>
    <row r="82" spans="1:10" hidden="1" outlineLevel="1">
      <c r="A82" s="105"/>
      <c r="B82" s="6" t="s">
        <v>133</v>
      </c>
      <c r="C82" s="6" t="s">
        <v>134</v>
      </c>
      <c r="D82" s="15">
        <v>0.17</v>
      </c>
      <c r="E82" s="15"/>
      <c r="F82" s="15">
        <f>D82*40%</f>
        <v>6.8000000000000005E-2</v>
      </c>
      <c r="G82" s="16">
        <f t="shared" si="7"/>
        <v>0.23800000000000002</v>
      </c>
      <c r="H82" s="5"/>
      <c r="I82" s="5"/>
      <c r="J82" s="15">
        <f t="shared" si="8"/>
        <v>0</v>
      </c>
    </row>
    <row r="83" spans="1:10" hidden="1" outlineLevel="1">
      <c r="A83" s="107"/>
      <c r="B83" s="199" t="s">
        <v>135</v>
      </c>
      <c r="C83" s="200"/>
      <c r="D83" s="200"/>
      <c r="E83" s="200"/>
      <c r="F83" s="200"/>
      <c r="G83" s="200"/>
      <c r="H83" s="200"/>
      <c r="I83" s="200"/>
      <c r="J83" s="201"/>
    </row>
    <row r="84" spans="1:10" hidden="1" outlineLevel="1">
      <c r="A84" s="105"/>
      <c r="B84" s="6" t="s">
        <v>136</v>
      </c>
      <c r="C84" s="6" t="s">
        <v>137</v>
      </c>
      <c r="D84" s="15">
        <v>54.64</v>
      </c>
      <c r="E84" s="15"/>
      <c r="F84" s="15">
        <f t="shared" ref="F84:F96" si="12">D84*20%</f>
        <v>10.928000000000001</v>
      </c>
      <c r="G84" s="16">
        <f t="shared" ref="G84:G96" si="13">F84+D84</f>
        <v>65.567999999999998</v>
      </c>
      <c r="H84" s="5"/>
      <c r="I84" s="5"/>
      <c r="J84" s="15">
        <f t="shared" ref="J84:J93" si="14">SUM(I84*G84)</f>
        <v>0</v>
      </c>
    </row>
    <row r="85" spans="1:10" hidden="1" outlineLevel="1">
      <c r="A85" s="105"/>
      <c r="B85" s="6" t="s">
        <v>4491</v>
      </c>
      <c r="C85" s="6" t="s">
        <v>4492</v>
      </c>
      <c r="D85" s="15">
        <v>147.08000000000001</v>
      </c>
      <c r="E85" s="15" t="s">
        <v>0</v>
      </c>
      <c r="F85" s="15">
        <f t="shared" si="12"/>
        <v>29.416000000000004</v>
      </c>
      <c r="G85" s="16">
        <f t="shared" si="13"/>
        <v>176.49600000000001</v>
      </c>
      <c r="H85" s="5" t="s">
        <v>0</v>
      </c>
      <c r="I85" s="5"/>
      <c r="J85" s="15">
        <f t="shared" si="14"/>
        <v>0</v>
      </c>
    </row>
    <row r="86" spans="1:10" hidden="1" outlineLevel="1">
      <c r="A86" s="105"/>
      <c r="B86" s="6" t="s">
        <v>140</v>
      </c>
      <c r="C86" s="5"/>
      <c r="D86" s="15">
        <v>3.32</v>
      </c>
      <c r="E86" s="15"/>
      <c r="F86" s="15">
        <f t="shared" si="12"/>
        <v>0.66400000000000003</v>
      </c>
      <c r="G86" s="16">
        <f t="shared" si="13"/>
        <v>3.984</v>
      </c>
      <c r="H86" s="5"/>
      <c r="I86" s="5"/>
      <c r="J86" s="15">
        <f t="shared" si="14"/>
        <v>0</v>
      </c>
    </row>
    <row r="87" spans="1:10" hidden="1" outlineLevel="1">
      <c r="A87" s="105"/>
      <c r="B87" s="6" t="s">
        <v>141</v>
      </c>
      <c r="C87" s="6" t="s">
        <v>142</v>
      </c>
      <c r="D87" s="15">
        <v>2.16</v>
      </c>
      <c r="E87" s="15"/>
      <c r="F87" s="25">
        <f t="shared" si="12"/>
        <v>0.43200000000000005</v>
      </c>
      <c r="G87" s="16">
        <f t="shared" si="13"/>
        <v>2.5920000000000001</v>
      </c>
      <c r="H87" s="5"/>
      <c r="I87" s="5"/>
      <c r="J87" s="15">
        <f t="shared" si="14"/>
        <v>0</v>
      </c>
    </row>
    <row r="88" spans="1:10" hidden="1" outlineLevel="1">
      <c r="A88" s="105"/>
      <c r="B88" s="6" t="s">
        <v>143</v>
      </c>
      <c r="C88" s="6" t="s">
        <v>144</v>
      </c>
      <c r="D88" s="15">
        <v>3.43</v>
      </c>
      <c r="E88" s="15"/>
      <c r="F88" s="15">
        <f t="shared" si="12"/>
        <v>0.68600000000000005</v>
      </c>
      <c r="G88" s="16">
        <f t="shared" si="13"/>
        <v>4.1160000000000005</v>
      </c>
      <c r="H88" s="5"/>
      <c r="I88" s="5"/>
      <c r="J88" s="15">
        <f t="shared" si="14"/>
        <v>0</v>
      </c>
    </row>
    <row r="89" spans="1:10" hidden="1" outlineLevel="1">
      <c r="A89" s="105"/>
      <c r="B89" s="6" t="s">
        <v>145</v>
      </c>
      <c r="C89" s="5"/>
      <c r="D89" s="15">
        <v>5.25</v>
      </c>
      <c r="E89" s="15"/>
      <c r="F89" s="15">
        <f t="shared" si="12"/>
        <v>1.05</v>
      </c>
      <c r="G89" s="16">
        <f t="shared" si="13"/>
        <v>6.3</v>
      </c>
      <c r="H89" s="5"/>
      <c r="I89" s="5"/>
      <c r="J89" s="15">
        <f t="shared" si="14"/>
        <v>0</v>
      </c>
    </row>
    <row r="90" spans="1:10" hidden="1" outlineLevel="1">
      <c r="A90" s="105"/>
      <c r="B90" s="6" t="s">
        <v>146</v>
      </c>
      <c r="C90" s="6" t="s">
        <v>147</v>
      </c>
      <c r="D90" s="15">
        <v>10.93</v>
      </c>
      <c r="E90" s="15"/>
      <c r="F90" s="15">
        <f t="shared" si="12"/>
        <v>2.1859999999999999</v>
      </c>
      <c r="G90" s="16">
        <f t="shared" si="13"/>
        <v>13.116</v>
      </c>
      <c r="H90" s="5"/>
      <c r="I90" s="5"/>
      <c r="J90" s="15">
        <f t="shared" si="14"/>
        <v>0</v>
      </c>
    </row>
    <row r="91" spans="1:10" hidden="1" outlineLevel="1">
      <c r="A91" s="105"/>
      <c r="B91" s="6" t="s">
        <v>148</v>
      </c>
      <c r="C91" s="6" t="s">
        <v>149</v>
      </c>
      <c r="D91" s="15">
        <v>20.73</v>
      </c>
      <c r="E91" s="15"/>
      <c r="F91" s="15">
        <f t="shared" si="12"/>
        <v>4.1459999999999999</v>
      </c>
      <c r="G91" s="16">
        <f t="shared" si="13"/>
        <v>24.876000000000001</v>
      </c>
      <c r="H91" s="5"/>
      <c r="I91" s="5"/>
      <c r="J91" s="15">
        <f t="shared" si="14"/>
        <v>0</v>
      </c>
    </row>
    <row r="92" spans="1:10" hidden="1" outlineLevel="1">
      <c r="A92" s="105"/>
      <c r="B92" s="6" t="s">
        <v>150</v>
      </c>
      <c r="C92" s="6" t="s">
        <v>151</v>
      </c>
      <c r="D92" s="15">
        <v>10.72</v>
      </c>
      <c r="E92" s="15"/>
      <c r="F92" s="15">
        <f t="shared" si="12"/>
        <v>2.1440000000000001</v>
      </c>
      <c r="G92" s="16">
        <f t="shared" si="13"/>
        <v>12.864000000000001</v>
      </c>
      <c r="H92" s="5"/>
      <c r="I92" s="5"/>
      <c r="J92" s="15">
        <f t="shared" si="14"/>
        <v>0</v>
      </c>
    </row>
    <row r="93" spans="1:10" hidden="1" outlineLevel="1">
      <c r="A93" s="105"/>
      <c r="B93" s="6" t="s">
        <v>152</v>
      </c>
      <c r="C93" s="6" t="s">
        <v>153</v>
      </c>
      <c r="D93" s="15">
        <v>45.31</v>
      </c>
      <c r="E93" s="15"/>
      <c r="F93" s="25">
        <f t="shared" si="12"/>
        <v>9.0620000000000012</v>
      </c>
      <c r="G93" s="16">
        <f t="shared" si="13"/>
        <v>54.372</v>
      </c>
      <c r="H93" s="5"/>
      <c r="I93" s="5"/>
      <c r="J93" s="15">
        <f t="shared" si="14"/>
        <v>0</v>
      </c>
    </row>
    <row r="94" spans="1:10" hidden="1" outlineLevel="1">
      <c r="A94" s="105"/>
      <c r="B94" s="6" t="s">
        <v>154</v>
      </c>
      <c r="C94" s="6" t="s">
        <v>155</v>
      </c>
      <c r="D94" s="15">
        <v>1.49</v>
      </c>
      <c r="E94" s="15"/>
      <c r="F94" s="15">
        <f t="shared" si="12"/>
        <v>0.29799999999999999</v>
      </c>
      <c r="G94" s="16">
        <f t="shared" si="13"/>
        <v>1.788</v>
      </c>
      <c r="H94" s="5"/>
      <c r="I94" s="5"/>
      <c r="J94" s="15">
        <v>0</v>
      </c>
    </row>
    <row r="95" spans="1:10" hidden="1" outlineLevel="1">
      <c r="A95" s="105"/>
      <c r="B95" s="6" t="s">
        <v>156</v>
      </c>
      <c r="C95" s="6" t="s">
        <v>157</v>
      </c>
      <c r="D95" s="15">
        <v>6.94</v>
      </c>
      <c r="E95" s="15"/>
      <c r="F95" s="25">
        <f t="shared" si="12"/>
        <v>1.3880000000000001</v>
      </c>
      <c r="G95" s="16">
        <f t="shared" si="13"/>
        <v>8.3280000000000012</v>
      </c>
      <c r="H95" s="5"/>
      <c r="I95" s="5"/>
      <c r="J95" s="15">
        <f>SUM(I95*G95)</f>
        <v>0</v>
      </c>
    </row>
    <row r="96" spans="1:10" hidden="1" outlineLevel="1">
      <c r="A96" s="105"/>
      <c r="B96" s="6" t="s">
        <v>158</v>
      </c>
      <c r="C96" s="6" t="s">
        <v>159</v>
      </c>
      <c r="D96" s="15">
        <v>68.42</v>
      </c>
      <c r="E96" s="15"/>
      <c r="F96" s="15">
        <f t="shared" si="12"/>
        <v>13.684000000000001</v>
      </c>
      <c r="G96" s="16">
        <f t="shared" si="13"/>
        <v>82.103999999999999</v>
      </c>
      <c r="H96" s="5"/>
      <c r="I96" s="5"/>
      <c r="J96" s="15">
        <f>SUM(I96*G96)</f>
        <v>0</v>
      </c>
    </row>
    <row r="97" spans="1:10" hidden="1" outlineLevel="1">
      <c r="A97" s="105"/>
      <c r="B97" s="6" t="s">
        <v>4489</v>
      </c>
      <c r="C97" s="6" t="s">
        <v>4490</v>
      </c>
      <c r="D97" s="15">
        <v>30.08</v>
      </c>
      <c r="E97" s="15"/>
      <c r="F97" s="15">
        <f>D97*20%</f>
        <v>6.016</v>
      </c>
      <c r="G97" s="16">
        <f>F97+D97</f>
        <v>36.095999999999997</v>
      </c>
      <c r="H97" s="5"/>
      <c r="I97" s="5"/>
      <c r="J97" s="15">
        <f>SUM(I97*G97)</f>
        <v>0</v>
      </c>
    </row>
    <row r="98" spans="1:10" hidden="1" outlineLevel="1">
      <c r="A98" s="105"/>
      <c r="B98" s="208" t="s">
        <v>4448</v>
      </c>
      <c r="C98" s="209"/>
      <c r="D98" s="209"/>
      <c r="E98" s="209"/>
      <c r="F98" s="209"/>
      <c r="G98" s="209"/>
      <c r="H98" s="209"/>
      <c r="I98" s="209"/>
      <c r="J98" s="210"/>
    </row>
    <row r="99" spans="1:10" hidden="1" outlineLevel="1">
      <c r="A99" s="105"/>
      <c r="B99" s="6"/>
      <c r="C99" s="6"/>
      <c r="D99" s="15"/>
      <c r="E99" s="15"/>
      <c r="F99" s="15">
        <f t="shared" ref="F99" si="15">D99*20%</f>
        <v>0</v>
      </c>
      <c r="G99" s="16">
        <f t="shared" ref="G99" si="16">F99+D99</f>
        <v>0</v>
      </c>
      <c r="H99" s="5"/>
      <c r="I99" s="5"/>
      <c r="J99" s="15">
        <v>0</v>
      </c>
    </row>
    <row r="100" spans="1:10" hidden="1" outlineLevel="1">
      <c r="A100" s="105"/>
      <c r="B100" s="6"/>
      <c r="C100" s="6"/>
      <c r="D100" s="15">
        <v>0</v>
      </c>
      <c r="E100" s="15"/>
      <c r="F100" s="15">
        <f t="shared" ref="F100" si="17">D100*20%</f>
        <v>0</v>
      </c>
      <c r="G100" s="16">
        <f t="shared" ref="G100:G101" si="18">F100+D100</f>
        <v>0</v>
      </c>
      <c r="H100" s="5"/>
      <c r="I100" s="5"/>
      <c r="J100" s="15">
        <f t="shared" ref="J100" si="19">SUM(I100*G100)</f>
        <v>0</v>
      </c>
    </row>
    <row r="101" spans="1:10" hidden="1" outlineLevel="1">
      <c r="A101" s="105"/>
      <c r="B101" s="6"/>
      <c r="C101" s="6"/>
      <c r="D101" s="15">
        <v>0</v>
      </c>
      <c r="E101" s="15"/>
      <c r="F101" s="15">
        <f t="shared" ref="F101:F103" si="20">D101*20%</f>
        <v>0</v>
      </c>
      <c r="G101" s="16">
        <f t="shared" si="18"/>
        <v>0</v>
      </c>
      <c r="H101" s="5"/>
      <c r="I101" s="5"/>
      <c r="J101" s="15">
        <f t="shared" ref="J101:J103" si="21">SUM(I101*G101)</f>
        <v>0</v>
      </c>
    </row>
    <row r="102" spans="1:10" hidden="1" outlineLevel="1">
      <c r="A102" s="105"/>
      <c r="B102" s="6"/>
      <c r="C102" s="6"/>
      <c r="D102" s="15">
        <v>0</v>
      </c>
      <c r="E102" s="15"/>
      <c r="F102" s="15">
        <f t="shared" si="20"/>
        <v>0</v>
      </c>
      <c r="G102" s="16">
        <f t="shared" ref="G102:G103" si="22">F102+D102</f>
        <v>0</v>
      </c>
      <c r="H102" s="5"/>
      <c r="I102" s="5"/>
      <c r="J102" s="15">
        <f t="shared" si="21"/>
        <v>0</v>
      </c>
    </row>
    <row r="103" spans="1:10" ht="12" hidden="1" customHeight="1" outlineLevel="1">
      <c r="A103" s="105"/>
      <c r="B103" s="6"/>
      <c r="C103" s="6"/>
      <c r="D103" s="15">
        <v>0</v>
      </c>
      <c r="E103" s="15"/>
      <c r="F103" s="15">
        <f t="shared" si="20"/>
        <v>0</v>
      </c>
      <c r="G103" s="16">
        <f t="shared" si="22"/>
        <v>0</v>
      </c>
      <c r="H103" s="5"/>
      <c r="I103" s="5"/>
      <c r="J103" s="15">
        <f t="shared" si="21"/>
        <v>0</v>
      </c>
    </row>
    <row r="104" spans="1:10" ht="12" hidden="1" customHeight="1" outlineLevel="1">
      <c r="A104" s="105"/>
      <c r="B104" s="6"/>
      <c r="C104" s="6"/>
      <c r="D104" s="15">
        <v>1</v>
      </c>
      <c r="E104" s="15"/>
      <c r="F104" s="15">
        <f t="shared" ref="F104:F111" si="23">D104*20%</f>
        <v>0.2</v>
      </c>
      <c r="G104" s="16">
        <f t="shared" ref="G104:G111" si="24">F104+D104</f>
        <v>1.2</v>
      </c>
      <c r="H104" s="5"/>
      <c r="I104" s="5"/>
      <c r="J104" s="15">
        <f t="shared" ref="J104:J111" si="25">SUM(I104*G104)</f>
        <v>0</v>
      </c>
    </row>
    <row r="105" spans="1:10" ht="12" hidden="1" customHeight="1" outlineLevel="1">
      <c r="A105" s="105"/>
      <c r="B105" s="6"/>
      <c r="C105" s="6"/>
      <c r="D105" s="15">
        <v>2</v>
      </c>
      <c r="E105" s="15"/>
      <c r="F105" s="15">
        <f t="shared" si="23"/>
        <v>0.4</v>
      </c>
      <c r="G105" s="16">
        <f t="shared" si="24"/>
        <v>2.4</v>
      </c>
      <c r="H105" s="5"/>
      <c r="I105" s="5"/>
      <c r="J105" s="15">
        <f t="shared" si="25"/>
        <v>0</v>
      </c>
    </row>
    <row r="106" spans="1:10" ht="12" hidden="1" customHeight="1" outlineLevel="1">
      <c r="A106" s="105"/>
      <c r="B106" s="6"/>
      <c r="C106" s="6"/>
      <c r="D106" s="15">
        <v>3</v>
      </c>
      <c r="E106" s="15"/>
      <c r="F106" s="15">
        <f t="shared" si="23"/>
        <v>0.60000000000000009</v>
      </c>
      <c r="G106" s="16">
        <f t="shared" si="24"/>
        <v>3.6</v>
      </c>
      <c r="H106" s="5"/>
      <c r="I106" s="5"/>
      <c r="J106" s="15">
        <f t="shared" si="25"/>
        <v>0</v>
      </c>
    </row>
    <row r="107" spans="1:10" ht="12" hidden="1" customHeight="1" outlineLevel="1">
      <c r="A107" s="105"/>
      <c r="B107" s="6"/>
      <c r="C107" s="6"/>
      <c r="D107" s="15">
        <v>4</v>
      </c>
      <c r="E107" s="15"/>
      <c r="F107" s="15">
        <f t="shared" si="23"/>
        <v>0.8</v>
      </c>
      <c r="G107" s="16">
        <f t="shared" si="24"/>
        <v>4.8</v>
      </c>
      <c r="H107" s="5"/>
      <c r="I107" s="5"/>
      <c r="J107" s="15">
        <f t="shared" si="25"/>
        <v>0</v>
      </c>
    </row>
    <row r="108" spans="1:10" ht="12" hidden="1" customHeight="1" outlineLevel="1">
      <c r="A108" s="105"/>
      <c r="B108" s="6"/>
      <c r="C108" s="6"/>
      <c r="D108" s="15">
        <v>5</v>
      </c>
      <c r="E108" s="15"/>
      <c r="F108" s="15">
        <f t="shared" si="23"/>
        <v>1</v>
      </c>
      <c r="G108" s="16">
        <f t="shared" si="24"/>
        <v>6</v>
      </c>
      <c r="H108" s="5"/>
      <c r="I108" s="5"/>
      <c r="J108" s="15">
        <f t="shared" si="25"/>
        <v>0</v>
      </c>
    </row>
    <row r="109" spans="1:10" ht="12" hidden="1" customHeight="1" outlineLevel="1">
      <c r="A109" s="105"/>
      <c r="B109" s="6"/>
      <c r="C109" s="6"/>
      <c r="D109" s="15">
        <v>6</v>
      </c>
      <c r="E109" s="15"/>
      <c r="F109" s="15">
        <f t="shared" si="23"/>
        <v>1.2000000000000002</v>
      </c>
      <c r="G109" s="16">
        <f t="shared" si="24"/>
        <v>7.2</v>
      </c>
      <c r="H109" s="5"/>
      <c r="I109" s="5"/>
      <c r="J109" s="15">
        <f t="shared" si="25"/>
        <v>0</v>
      </c>
    </row>
    <row r="110" spans="1:10" ht="12" hidden="1" customHeight="1" outlineLevel="1">
      <c r="A110" s="105"/>
      <c r="B110" s="6"/>
      <c r="C110" s="6"/>
      <c r="D110" s="15">
        <v>7</v>
      </c>
      <c r="E110" s="15"/>
      <c r="F110" s="15">
        <f t="shared" si="23"/>
        <v>1.4000000000000001</v>
      </c>
      <c r="G110" s="16">
        <f t="shared" si="24"/>
        <v>8.4</v>
      </c>
      <c r="H110" s="5"/>
      <c r="I110" s="5"/>
      <c r="J110" s="15">
        <f t="shared" si="25"/>
        <v>0</v>
      </c>
    </row>
    <row r="111" spans="1:10" ht="12" hidden="1" customHeight="1" outlineLevel="1">
      <c r="A111" s="105"/>
      <c r="B111" s="6"/>
      <c r="C111" s="6"/>
      <c r="D111" s="15">
        <v>8</v>
      </c>
      <c r="E111" s="15"/>
      <c r="F111" s="15">
        <f t="shared" si="23"/>
        <v>1.6</v>
      </c>
      <c r="G111" s="16">
        <f t="shared" si="24"/>
        <v>9.6</v>
      </c>
      <c r="H111" s="5"/>
      <c r="I111" s="5"/>
      <c r="J111" s="15">
        <f t="shared" si="25"/>
        <v>0</v>
      </c>
    </row>
    <row r="112" spans="1:10" hidden="1" outlineLevel="1">
      <c r="A112" s="105"/>
      <c r="B112" s="6"/>
      <c r="C112" s="6"/>
      <c r="D112" s="15">
        <v>0</v>
      </c>
      <c r="E112" s="15"/>
      <c r="F112" s="15">
        <f t="shared" ref="F112:F113" si="26">D112*20%</f>
        <v>0</v>
      </c>
      <c r="G112" s="16">
        <f t="shared" ref="G112" si="27">F112+D112</f>
        <v>0</v>
      </c>
      <c r="H112" s="5"/>
      <c r="I112" s="5"/>
      <c r="J112" s="15">
        <f t="shared" ref="J112:J113" si="28">SUM(I112*G112)</f>
        <v>0</v>
      </c>
    </row>
    <row r="113" spans="1:10" hidden="1" outlineLevel="1">
      <c r="A113" s="105"/>
      <c r="B113" s="118"/>
      <c r="C113" s="118"/>
      <c r="D113" s="119">
        <v>0</v>
      </c>
      <c r="E113" s="119"/>
      <c r="F113" s="119">
        <f t="shared" si="26"/>
        <v>0</v>
      </c>
      <c r="G113" s="120">
        <f>SUM(G99:G112)</f>
        <v>43.2</v>
      </c>
      <c r="H113" s="121"/>
      <c r="I113" s="121"/>
      <c r="J113" s="119">
        <f t="shared" si="28"/>
        <v>0</v>
      </c>
    </row>
    <row r="114" spans="1:10" ht="14" hidden="1" customHeight="1" collapsed="1">
      <c r="A114" s="105"/>
      <c r="B114" s="190" t="s">
        <v>4464</v>
      </c>
      <c r="C114" s="191"/>
      <c r="D114" s="191"/>
      <c r="E114" s="191"/>
      <c r="F114" s="191"/>
      <c r="G114" s="191"/>
      <c r="H114" s="191"/>
      <c r="I114" s="192"/>
      <c r="J114" s="72">
        <f>SUM(J14:J100)</f>
        <v>0</v>
      </c>
    </row>
    <row r="115" spans="1:10" ht="14" hidden="1" customHeight="1">
      <c r="A115" s="105"/>
      <c r="B115" s="193" t="s">
        <v>4465</v>
      </c>
      <c r="C115" s="194"/>
      <c r="D115" s="194"/>
      <c r="E115" s="194"/>
      <c r="F115" s="194"/>
      <c r="G115" s="194"/>
      <c r="H115" s="194"/>
      <c r="I115" s="194"/>
      <c r="J115" s="195"/>
    </row>
    <row r="116" spans="1:10" ht="9" hidden="1" customHeight="1" outlineLevel="1">
      <c r="A116" s="105"/>
      <c r="B116" s="97" t="s">
        <v>20</v>
      </c>
      <c r="C116" s="97" t="s">
        <v>21</v>
      </c>
      <c r="D116" s="97" t="s">
        <v>162</v>
      </c>
      <c r="E116" s="196"/>
      <c r="F116" s="197"/>
      <c r="G116" s="197"/>
      <c r="H116" s="197"/>
      <c r="I116" s="197"/>
      <c r="J116" s="198"/>
    </row>
    <row r="117" spans="1:10" hidden="1" outlineLevel="1">
      <c r="A117" s="105"/>
    </row>
    <row r="118" spans="1:10" hidden="1" outlineLevel="1">
      <c r="A118" s="105"/>
      <c r="B118" s="30" t="s">
        <v>163</v>
      </c>
      <c r="C118" s="6" t="s">
        <v>164</v>
      </c>
      <c r="D118" s="15">
        <v>64.81</v>
      </c>
      <c r="E118" s="15"/>
      <c r="F118" s="31">
        <f t="shared" ref="F118:F121" si="29">D118*40%</f>
        <v>25.924000000000003</v>
      </c>
      <c r="G118" s="16">
        <f t="shared" ref="G118:G121" si="30">F118+D118</f>
        <v>90.734000000000009</v>
      </c>
      <c r="H118" s="29">
        <v>0.1</v>
      </c>
      <c r="I118" s="23"/>
      <c r="J118" s="15">
        <f>SUM(G118+H118)*I118</f>
        <v>0</v>
      </c>
    </row>
    <row r="119" spans="1:10" hidden="1" outlineLevel="1">
      <c r="A119" s="105"/>
      <c r="B119" s="6" t="s">
        <v>165</v>
      </c>
      <c r="C119" s="6" t="s">
        <v>166</v>
      </c>
      <c r="D119" s="15">
        <v>64.81</v>
      </c>
      <c r="E119" s="15"/>
      <c r="F119" s="31">
        <f t="shared" si="29"/>
        <v>25.924000000000003</v>
      </c>
      <c r="G119" s="16">
        <f t="shared" si="30"/>
        <v>90.734000000000009</v>
      </c>
      <c r="H119" s="29">
        <v>0.2</v>
      </c>
      <c r="I119" s="23"/>
      <c r="J119" s="19">
        <f>SUM(G119+H119)*I119</f>
        <v>0</v>
      </c>
    </row>
    <row r="120" spans="1:10" hidden="1" outlineLevel="1">
      <c r="A120" s="105"/>
      <c r="B120" s="6" t="s">
        <v>167</v>
      </c>
      <c r="C120" s="30" t="s">
        <v>168</v>
      </c>
      <c r="D120" s="15">
        <v>64.81</v>
      </c>
      <c r="E120" s="15"/>
      <c r="F120" s="31">
        <f t="shared" si="29"/>
        <v>25.924000000000003</v>
      </c>
      <c r="G120" s="16">
        <f t="shared" si="30"/>
        <v>90.734000000000009</v>
      </c>
      <c r="H120" s="29">
        <v>0.2</v>
      </c>
      <c r="I120" s="23"/>
      <c r="J120" s="15">
        <f>SUM(G120+H120)*I120</f>
        <v>0</v>
      </c>
    </row>
    <row r="121" spans="1:10" hidden="1" outlineLevel="1">
      <c r="A121" s="105"/>
      <c r="B121" s="6" t="s">
        <v>167</v>
      </c>
      <c r="C121" s="5"/>
      <c r="D121" s="15">
        <v>0</v>
      </c>
      <c r="E121" s="15"/>
      <c r="F121" s="31">
        <f t="shared" si="29"/>
        <v>0</v>
      </c>
      <c r="G121" s="16">
        <f t="shared" si="30"/>
        <v>0</v>
      </c>
      <c r="H121" s="29">
        <v>0.2</v>
      </c>
      <c r="I121" s="23"/>
      <c r="J121" s="19">
        <f>SUM(G121+H121)*I121</f>
        <v>0</v>
      </c>
    </row>
    <row r="122" spans="1:10" hidden="1" outlineLevel="1">
      <c r="A122" s="105"/>
      <c r="B122" s="8">
        <v>44119</v>
      </c>
      <c r="C122" s="5" t="s">
        <v>4444</v>
      </c>
      <c r="D122" s="15">
        <v>4817.51</v>
      </c>
      <c r="E122" s="15"/>
      <c r="F122" s="74">
        <f>D122*20%</f>
        <v>963.50200000000007</v>
      </c>
      <c r="G122" s="16">
        <f>F122+D122</f>
        <v>5781.0120000000006</v>
      </c>
      <c r="H122" s="5"/>
      <c r="I122" s="23"/>
      <c r="J122" s="15">
        <f>SUM(G122+H122)*I122</f>
        <v>0</v>
      </c>
    </row>
    <row r="123" spans="1:10" hidden="1" collapsed="1">
      <c r="A123" s="105"/>
      <c r="B123" s="190" t="s">
        <v>4466</v>
      </c>
      <c r="C123" s="191"/>
      <c r="D123" s="191"/>
      <c r="E123" s="191"/>
      <c r="F123" s="191"/>
      <c r="G123" s="191"/>
      <c r="H123" s="191"/>
      <c r="I123" s="192"/>
      <c r="J123" s="72">
        <f>SUM(J117:J122)</f>
        <v>0</v>
      </c>
    </row>
    <row r="124" spans="1:10" hidden="1">
      <c r="A124" s="105"/>
      <c r="B124" s="97" t="s">
        <v>20</v>
      </c>
      <c r="C124" s="97" t="s">
        <v>21</v>
      </c>
      <c r="D124" s="97" t="s">
        <v>162</v>
      </c>
      <c r="E124" s="196"/>
      <c r="F124" s="197"/>
      <c r="G124" s="197"/>
      <c r="H124" s="197"/>
      <c r="I124" s="197"/>
      <c r="J124" s="198"/>
    </row>
    <row r="125" spans="1:10" hidden="1" outlineLevel="1">
      <c r="A125" s="105"/>
      <c r="B125" s="30" t="s">
        <v>169</v>
      </c>
      <c r="C125" s="6" t="s">
        <v>170</v>
      </c>
      <c r="D125" s="15">
        <v>0.18</v>
      </c>
      <c r="E125" s="15"/>
      <c r="F125" s="31">
        <f t="shared" ref="F125:F128" si="31">D125*40%</f>
        <v>7.1999999999999995E-2</v>
      </c>
      <c r="G125" s="16">
        <f t="shared" ref="G125:G131" si="32">F125+D125</f>
        <v>0.252</v>
      </c>
      <c r="H125" s="29">
        <v>0.1</v>
      </c>
      <c r="I125" s="23"/>
      <c r="J125" s="15">
        <f t="shared" ref="J125:J131" si="33">SUM(G125+H125)*I125</f>
        <v>0</v>
      </c>
    </row>
    <row r="126" spans="1:10" hidden="1" outlineLevel="1">
      <c r="A126" s="105"/>
      <c r="B126" s="6" t="s">
        <v>171</v>
      </c>
      <c r="C126" s="6" t="s">
        <v>172</v>
      </c>
      <c r="D126" s="15">
        <v>1.5</v>
      </c>
      <c r="E126" s="15"/>
      <c r="F126" s="31">
        <f t="shared" si="31"/>
        <v>0.60000000000000009</v>
      </c>
      <c r="G126" s="16">
        <f t="shared" si="32"/>
        <v>2.1</v>
      </c>
      <c r="H126" s="29">
        <v>0.2</v>
      </c>
      <c r="I126" s="5"/>
      <c r="J126" s="102">
        <f>I126*G126</f>
        <v>0</v>
      </c>
    </row>
    <row r="127" spans="1:10" hidden="1" outlineLevel="1">
      <c r="A127" s="105"/>
      <c r="B127" s="6" t="s">
        <v>173</v>
      </c>
      <c r="C127" s="30" t="s">
        <v>174</v>
      </c>
      <c r="D127" s="15">
        <v>2.8119999999999998</v>
      </c>
      <c r="E127" s="15"/>
      <c r="F127" s="31">
        <f t="shared" si="31"/>
        <v>1.1248</v>
      </c>
      <c r="G127" s="16">
        <f t="shared" si="32"/>
        <v>3.9367999999999999</v>
      </c>
      <c r="H127" s="29">
        <v>0.2</v>
      </c>
      <c r="I127" s="23"/>
      <c r="J127" s="15">
        <f t="shared" si="33"/>
        <v>0</v>
      </c>
    </row>
    <row r="128" spans="1:10" hidden="1" outlineLevel="1">
      <c r="A128" s="105"/>
      <c r="B128" s="32" t="s">
        <v>175</v>
      </c>
      <c r="C128" s="6" t="s">
        <v>176</v>
      </c>
      <c r="D128" s="15">
        <v>0.59</v>
      </c>
      <c r="E128" s="15"/>
      <c r="F128" s="31">
        <f t="shared" si="31"/>
        <v>0.23599999999999999</v>
      </c>
      <c r="G128" s="16">
        <f t="shared" si="32"/>
        <v>0.82599999999999996</v>
      </c>
      <c r="H128" s="29">
        <v>0.2</v>
      </c>
      <c r="I128" s="5"/>
      <c r="J128" s="19">
        <f t="shared" si="33"/>
        <v>0</v>
      </c>
    </row>
    <row r="129" spans="1:10" hidden="1" outlineLevel="1">
      <c r="A129" s="105"/>
      <c r="B129" s="5" t="s">
        <v>4442</v>
      </c>
      <c r="C129" s="5" t="s">
        <v>4443</v>
      </c>
      <c r="D129" s="15">
        <v>1996</v>
      </c>
      <c r="E129" s="15"/>
      <c r="F129" s="29">
        <f>D129*40%</f>
        <v>798.40000000000009</v>
      </c>
      <c r="G129" s="16">
        <f>F129+D129</f>
        <v>2794.4</v>
      </c>
      <c r="H129" s="5"/>
      <c r="I129" s="23"/>
      <c r="J129" s="15">
        <f>SUM(I129*G129)</f>
        <v>0</v>
      </c>
    </row>
    <row r="130" spans="1:10" hidden="1" outlineLevel="1">
      <c r="A130" s="105"/>
      <c r="B130" s="6" t="s">
        <v>177</v>
      </c>
      <c r="C130" s="6" t="s">
        <v>178</v>
      </c>
      <c r="D130" s="15">
        <v>545</v>
      </c>
      <c r="E130" s="15"/>
      <c r="F130" s="15">
        <f>D130*20%</f>
        <v>109</v>
      </c>
      <c r="G130" s="16">
        <f t="shared" si="32"/>
        <v>654</v>
      </c>
      <c r="H130" s="5"/>
      <c r="I130" s="5"/>
      <c r="J130" s="19">
        <f t="shared" si="33"/>
        <v>0</v>
      </c>
    </row>
    <row r="131" spans="1:10" hidden="1" outlineLevel="1">
      <c r="A131" s="105"/>
      <c r="B131" s="6" t="s">
        <v>179</v>
      </c>
      <c r="C131" s="6" t="s">
        <v>180</v>
      </c>
      <c r="D131" s="15">
        <v>545</v>
      </c>
      <c r="E131" s="15"/>
      <c r="F131" s="15">
        <f>D131*20%</f>
        <v>109</v>
      </c>
      <c r="G131" s="16">
        <f t="shared" si="32"/>
        <v>654</v>
      </c>
      <c r="H131" s="5"/>
      <c r="I131" s="23"/>
      <c r="J131" s="15">
        <f t="shared" si="33"/>
        <v>0</v>
      </c>
    </row>
    <row r="132" spans="1:10" hidden="1" outlineLevel="1">
      <c r="A132" s="105"/>
      <c r="B132" s="6" t="s">
        <v>181</v>
      </c>
      <c r="C132" s="6" t="s">
        <v>182</v>
      </c>
      <c r="D132" s="15">
        <v>1009</v>
      </c>
      <c r="E132" s="15"/>
      <c r="F132" s="15">
        <f>D132*20%</f>
        <v>201.8</v>
      </c>
      <c r="G132" s="16">
        <f>SUM(D132:F132)</f>
        <v>1210.8</v>
      </c>
      <c r="H132" s="29">
        <v>0</v>
      </c>
      <c r="I132" s="5"/>
      <c r="J132" s="19">
        <f>SUM(G132*I132)</f>
        <v>0</v>
      </c>
    </row>
    <row r="133" spans="1:10" hidden="1" collapsed="1">
      <c r="A133" s="105"/>
      <c r="B133" s="162" t="s">
        <v>4471</v>
      </c>
      <c r="C133" s="163"/>
      <c r="D133" s="163"/>
      <c r="E133" s="163"/>
      <c r="F133" s="163"/>
      <c r="G133" s="163"/>
      <c r="H133" s="163"/>
      <c r="I133" s="164"/>
      <c r="J133" s="33">
        <f>SUM(J125:J132)</f>
        <v>0</v>
      </c>
    </row>
    <row r="134" spans="1:10">
      <c r="A134" s="106"/>
      <c r="B134" s="188" t="s">
        <v>183</v>
      </c>
      <c r="C134" s="187"/>
      <c r="D134" s="187"/>
      <c r="E134" s="187"/>
      <c r="F134" s="187"/>
      <c r="G134" s="187"/>
      <c r="H134" s="187"/>
      <c r="I134" s="187"/>
      <c r="J134" s="101"/>
    </row>
    <row r="135" spans="1:10" outlineLevel="1">
      <c r="A135" s="107"/>
      <c r="B135" s="10" t="s">
        <v>20</v>
      </c>
      <c r="C135" s="10" t="s">
        <v>21</v>
      </c>
      <c r="D135" s="10" t="s">
        <v>22</v>
      </c>
      <c r="E135" s="11"/>
      <c r="F135" s="12"/>
      <c r="G135" s="12"/>
      <c r="H135" s="12"/>
      <c r="I135" s="10" t="s">
        <v>24</v>
      </c>
      <c r="J135" s="10" t="s">
        <v>25</v>
      </c>
    </row>
    <row r="136" spans="1:10" hidden="1" outlineLevel="1">
      <c r="A136" s="105"/>
      <c r="B136" s="5" t="s">
        <v>4482</v>
      </c>
      <c r="C136" s="5" t="s">
        <v>4483</v>
      </c>
      <c r="D136" s="15">
        <v>44.55</v>
      </c>
      <c r="E136" s="15"/>
      <c r="F136" s="31">
        <f>D136*40%</f>
        <v>17.82</v>
      </c>
      <c r="G136" s="16">
        <f>F136+D136</f>
        <v>62.37</v>
      </c>
      <c r="H136" s="5"/>
      <c r="I136" s="5"/>
      <c r="J136" s="15">
        <f>SUM(I136*G136)</f>
        <v>0</v>
      </c>
    </row>
    <row r="137" spans="1:10" hidden="1" outlineLevel="1">
      <c r="A137" s="105"/>
      <c r="B137" s="5"/>
      <c r="C137" s="6" t="s">
        <v>184</v>
      </c>
      <c r="D137" s="15">
        <v>2.09</v>
      </c>
      <c r="E137" s="15"/>
      <c r="F137" s="31">
        <f>D137*40%</f>
        <v>0.83599999999999997</v>
      </c>
      <c r="G137" s="16">
        <f>F137+D137</f>
        <v>2.9259999999999997</v>
      </c>
      <c r="H137" s="5"/>
      <c r="I137" s="5"/>
      <c r="J137" s="15">
        <f>SUM(I137*G137)</f>
        <v>0</v>
      </c>
    </row>
    <row r="138" spans="1:10" hidden="1" outlineLevel="1">
      <c r="A138" s="107"/>
      <c r="B138" s="199" t="s">
        <v>185</v>
      </c>
      <c r="C138" s="200"/>
      <c r="D138" s="200"/>
      <c r="E138" s="200"/>
      <c r="F138" s="200"/>
      <c r="G138" s="200"/>
      <c r="H138" s="200"/>
      <c r="I138" s="200"/>
      <c r="J138" s="201"/>
    </row>
    <row r="139" spans="1:10" hidden="1" outlineLevel="1">
      <c r="A139" s="105"/>
      <c r="B139" s="5"/>
      <c r="C139" s="5"/>
      <c r="D139" s="15">
        <v>0</v>
      </c>
      <c r="E139" s="15"/>
      <c r="F139" s="31">
        <f t="shared" ref="F139:F150" si="34">D139*40%</f>
        <v>0</v>
      </c>
      <c r="G139" s="16">
        <f t="shared" ref="G139:G150" si="35">F139+D139</f>
        <v>0</v>
      </c>
      <c r="H139" s="5"/>
      <c r="I139" s="5"/>
      <c r="J139" s="15">
        <f t="shared" ref="J139:J150" si="36">SUM(I139*G139)</f>
        <v>0</v>
      </c>
    </row>
    <row r="140" spans="1:10" hidden="1" outlineLevel="1">
      <c r="A140" s="105"/>
      <c r="B140" s="6" t="s">
        <v>186</v>
      </c>
      <c r="C140" s="6" t="s">
        <v>187</v>
      </c>
      <c r="D140" s="15">
        <v>3.58</v>
      </c>
      <c r="E140" s="15"/>
      <c r="F140" s="31">
        <f t="shared" si="34"/>
        <v>1.4320000000000002</v>
      </c>
      <c r="G140" s="16">
        <f t="shared" si="35"/>
        <v>5.0120000000000005</v>
      </c>
      <c r="H140" s="5"/>
      <c r="I140" s="5"/>
      <c r="J140" s="15">
        <f t="shared" si="36"/>
        <v>0</v>
      </c>
    </row>
    <row r="141" spans="1:10" hidden="1" outlineLevel="1">
      <c r="A141" s="105"/>
      <c r="B141" s="6" t="s">
        <v>188</v>
      </c>
      <c r="C141" s="6" t="s">
        <v>189</v>
      </c>
      <c r="D141" s="15">
        <v>5.6</v>
      </c>
      <c r="E141" s="15"/>
      <c r="F141" s="31">
        <f t="shared" si="34"/>
        <v>2.2399999999999998</v>
      </c>
      <c r="G141" s="16">
        <f t="shared" si="35"/>
        <v>7.84</v>
      </c>
      <c r="H141" s="5"/>
      <c r="I141" s="5"/>
      <c r="J141" s="15">
        <f t="shared" si="36"/>
        <v>0</v>
      </c>
    </row>
    <row r="142" spans="1:10" hidden="1" outlineLevel="1">
      <c r="A142" s="105"/>
      <c r="B142" s="5"/>
      <c r="C142" s="6" t="s">
        <v>190</v>
      </c>
      <c r="D142" s="15">
        <v>3</v>
      </c>
      <c r="E142" s="15"/>
      <c r="F142" s="31">
        <f t="shared" si="34"/>
        <v>1.2000000000000002</v>
      </c>
      <c r="G142" s="16">
        <f t="shared" si="35"/>
        <v>4.2</v>
      </c>
      <c r="H142" s="5"/>
      <c r="I142" s="5"/>
      <c r="J142" s="15">
        <f t="shared" si="36"/>
        <v>0</v>
      </c>
    </row>
    <row r="143" spans="1:10" hidden="1" outlineLevel="1">
      <c r="A143" s="105"/>
      <c r="B143" s="5"/>
      <c r="C143" s="6" t="s">
        <v>191</v>
      </c>
      <c r="D143" s="15">
        <v>4.5</v>
      </c>
      <c r="E143" s="15"/>
      <c r="F143" s="31">
        <f t="shared" si="34"/>
        <v>1.8</v>
      </c>
      <c r="G143" s="16">
        <f t="shared" si="35"/>
        <v>6.3</v>
      </c>
      <c r="H143" s="5"/>
      <c r="I143" s="5"/>
      <c r="J143" s="15">
        <f t="shared" si="36"/>
        <v>0</v>
      </c>
    </row>
    <row r="144" spans="1:10" hidden="1" outlineLevel="1">
      <c r="A144" s="105"/>
      <c r="B144" s="5"/>
      <c r="C144" s="6" t="s">
        <v>192</v>
      </c>
      <c r="D144" s="15">
        <v>5.89</v>
      </c>
      <c r="E144" s="15"/>
      <c r="F144" s="31">
        <f t="shared" si="34"/>
        <v>2.3559999999999999</v>
      </c>
      <c r="G144" s="16">
        <f t="shared" si="35"/>
        <v>8.2459999999999987</v>
      </c>
      <c r="H144" s="5"/>
      <c r="I144" s="5"/>
      <c r="J144" s="15">
        <f t="shared" si="36"/>
        <v>0</v>
      </c>
    </row>
    <row r="145" spans="1:10" hidden="1" outlineLevel="1">
      <c r="A145" s="105"/>
      <c r="B145" s="5"/>
      <c r="C145" s="6" t="s">
        <v>193</v>
      </c>
      <c r="D145" s="15">
        <v>6.81</v>
      </c>
      <c r="E145" s="15"/>
      <c r="F145" s="31">
        <f t="shared" si="34"/>
        <v>2.7240000000000002</v>
      </c>
      <c r="G145" s="16">
        <f t="shared" si="35"/>
        <v>9.5339999999999989</v>
      </c>
      <c r="H145" s="5"/>
      <c r="I145" s="5"/>
      <c r="J145" s="15">
        <f t="shared" si="36"/>
        <v>0</v>
      </c>
    </row>
    <row r="146" spans="1:10" hidden="1" outlineLevel="1">
      <c r="A146" s="105"/>
      <c r="B146" s="5"/>
      <c r="C146" s="6" t="s">
        <v>194</v>
      </c>
      <c r="D146" s="15">
        <v>7.21</v>
      </c>
      <c r="E146" s="15"/>
      <c r="F146" s="31">
        <f t="shared" si="34"/>
        <v>2.8840000000000003</v>
      </c>
      <c r="G146" s="16">
        <f t="shared" si="35"/>
        <v>10.094000000000001</v>
      </c>
      <c r="H146" s="5"/>
      <c r="I146" s="5"/>
      <c r="J146" s="15">
        <f t="shared" si="36"/>
        <v>0</v>
      </c>
    </row>
    <row r="147" spans="1:10" hidden="1" outlineLevel="1">
      <c r="A147" s="105"/>
      <c r="B147" s="5"/>
      <c r="C147" s="6" t="s">
        <v>195</v>
      </c>
      <c r="D147" s="15">
        <v>0</v>
      </c>
      <c r="E147" s="15"/>
      <c r="F147" s="31">
        <f t="shared" si="34"/>
        <v>0</v>
      </c>
      <c r="G147" s="16">
        <f t="shared" si="35"/>
        <v>0</v>
      </c>
      <c r="H147" s="5"/>
      <c r="I147" s="5"/>
      <c r="J147" s="15">
        <f t="shared" si="36"/>
        <v>0</v>
      </c>
    </row>
    <row r="148" spans="1:10" hidden="1" outlineLevel="1">
      <c r="A148" s="105"/>
      <c r="B148" s="5"/>
      <c r="C148" s="6" t="s">
        <v>196</v>
      </c>
      <c r="D148" s="15">
        <v>0</v>
      </c>
      <c r="E148" s="15"/>
      <c r="F148" s="31">
        <f t="shared" si="34"/>
        <v>0</v>
      </c>
      <c r="G148" s="16">
        <f t="shared" si="35"/>
        <v>0</v>
      </c>
      <c r="H148" s="5"/>
      <c r="I148" s="5"/>
      <c r="J148" s="15">
        <f t="shared" si="36"/>
        <v>0</v>
      </c>
    </row>
    <row r="149" spans="1:10" hidden="1" outlineLevel="1">
      <c r="A149" s="105"/>
      <c r="B149" s="5"/>
      <c r="C149" s="6" t="s">
        <v>197</v>
      </c>
      <c r="D149" s="15">
        <v>17.649999999999999</v>
      </c>
      <c r="E149" s="15"/>
      <c r="F149" s="31">
        <f t="shared" si="34"/>
        <v>7.06</v>
      </c>
      <c r="G149" s="16">
        <f t="shared" si="35"/>
        <v>24.709999999999997</v>
      </c>
      <c r="H149" s="5"/>
      <c r="I149" s="5"/>
      <c r="J149" s="15">
        <f t="shared" si="36"/>
        <v>0</v>
      </c>
    </row>
    <row r="150" spans="1:10" hidden="1" outlineLevel="1">
      <c r="A150" s="105"/>
      <c r="B150" s="5"/>
      <c r="C150" s="5"/>
      <c r="D150" s="15">
        <v>0</v>
      </c>
      <c r="E150" s="15"/>
      <c r="F150" s="31">
        <f t="shared" si="34"/>
        <v>0</v>
      </c>
      <c r="G150" s="16">
        <f t="shared" si="35"/>
        <v>0</v>
      </c>
      <c r="H150" s="5"/>
      <c r="I150" s="5"/>
      <c r="J150" s="15">
        <f t="shared" si="36"/>
        <v>0</v>
      </c>
    </row>
    <row r="151" spans="1:10" outlineLevel="1">
      <c r="A151" s="126"/>
      <c r="B151" s="205" t="s">
        <v>198</v>
      </c>
      <c r="C151" s="206"/>
      <c r="D151" s="206"/>
      <c r="E151" s="206"/>
      <c r="F151" s="206"/>
      <c r="G151" s="206"/>
      <c r="H151" s="206"/>
      <c r="I151" s="206"/>
      <c r="J151" s="207"/>
    </row>
    <row r="152" spans="1:10" hidden="1" outlineLevel="1">
      <c r="A152" s="105"/>
      <c r="B152" s="5"/>
      <c r="C152" s="5"/>
      <c r="D152" s="15">
        <v>0</v>
      </c>
      <c r="E152" s="15"/>
      <c r="F152" s="31">
        <f t="shared" ref="F152:F168" si="37">D152*40%</f>
        <v>0</v>
      </c>
      <c r="G152" s="16">
        <f t="shared" ref="G152:G168" si="38">F152+D152</f>
        <v>0</v>
      </c>
      <c r="H152" s="5"/>
      <c r="I152" s="5"/>
      <c r="J152" s="15">
        <f t="shared" ref="J152:J168" si="39">SUM(I152*G152)</f>
        <v>0</v>
      </c>
    </row>
    <row r="153" spans="1:10" hidden="1" outlineLevel="1">
      <c r="A153" s="105"/>
      <c r="B153" s="6" t="s">
        <v>199</v>
      </c>
      <c r="C153" s="6" t="s">
        <v>200</v>
      </c>
      <c r="D153" s="15">
        <v>6.69</v>
      </c>
      <c r="E153" s="15"/>
      <c r="F153" s="31">
        <f t="shared" si="37"/>
        <v>2.6760000000000002</v>
      </c>
      <c r="G153" s="16">
        <f t="shared" si="38"/>
        <v>9.3659999999999997</v>
      </c>
      <c r="H153" s="5"/>
      <c r="I153" s="20"/>
      <c r="J153" s="15">
        <f t="shared" si="39"/>
        <v>0</v>
      </c>
    </row>
    <row r="154" spans="1:10" hidden="1" outlineLevel="1">
      <c r="A154" s="105"/>
      <c r="B154" s="6" t="s">
        <v>201</v>
      </c>
      <c r="C154" s="6" t="s">
        <v>202</v>
      </c>
      <c r="D154" s="15">
        <v>5.6</v>
      </c>
      <c r="E154" s="15"/>
      <c r="F154" s="31">
        <f t="shared" si="37"/>
        <v>2.2399999999999998</v>
      </c>
      <c r="G154" s="16">
        <f t="shared" si="38"/>
        <v>7.84</v>
      </c>
      <c r="H154" s="5"/>
      <c r="I154" s="5"/>
      <c r="J154" s="15">
        <f t="shared" si="39"/>
        <v>0</v>
      </c>
    </row>
    <row r="155" spans="1:10" hidden="1" outlineLevel="1">
      <c r="A155" s="105"/>
      <c r="B155" s="6" t="s">
        <v>203</v>
      </c>
      <c r="C155" s="6" t="s">
        <v>204</v>
      </c>
      <c r="D155" s="15">
        <v>4.88</v>
      </c>
      <c r="E155" s="15"/>
      <c r="F155" s="31">
        <f t="shared" si="37"/>
        <v>1.952</v>
      </c>
      <c r="G155" s="16">
        <f t="shared" si="38"/>
        <v>6.8319999999999999</v>
      </c>
      <c r="H155" s="5"/>
      <c r="I155" s="5"/>
      <c r="J155" s="15">
        <f t="shared" si="39"/>
        <v>0</v>
      </c>
    </row>
    <row r="156" spans="1:10" hidden="1" outlineLevel="1">
      <c r="A156" s="105"/>
      <c r="B156" s="6" t="s">
        <v>201</v>
      </c>
      <c r="C156" s="6" t="s">
        <v>202</v>
      </c>
      <c r="D156" s="15">
        <v>0</v>
      </c>
      <c r="E156" s="15"/>
      <c r="F156" s="31">
        <f t="shared" si="37"/>
        <v>0</v>
      </c>
      <c r="G156" s="16">
        <f t="shared" si="38"/>
        <v>0</v>
      </c>
      <c r="H156" s="5"/>
      <c r="I156" s="5"/>
      <c r="J156" s="15">
        <f t="shared" si="39"/>
        <v>0</v>
      </c>
    </row>
    <row r="157" spans="1:10" hidden="1" outlineLevel="1">
      <c r="A157" s="105"/>
      <c r="B157" s="6" t="s">
        <v>205</v>
      </c>
      <c r="C157" s="6" t="s">
        <v>4478</v>
      </c>
      <c r="D157" s="15">
        <v>6.6</v>
      </c>
      <c r="E157" s="15"/>
      <c r="F157" s="31">
        <f t="shared" ref="F157" si="40">D157*40%</f>
        <v>2.64</v>
      </c>
      <c r="G157" s="16">
        <f t="shared" ref="G157" si="41">F157+D157</f>
        <v>9.24</v>
      </c>
      <c r="H157" s="5"/>
      <c r="I157" s="5"/>
      <c r="J157" s="15">
        <f t="shared" ref="J157" si="42">SUM(I157*G157)</f>
        <v>0</v>
      </c>
    </row>
    <row r="158" spans="1:10" hidden="1" outlineLevel="1">
      <c r="A158" s="105"/>
      <c r="B158" s="6" t="s">
        <v>205</v>
      </c>
      <c r="C158" s="6" t="s">
        <v>206</v>
      </c>
      <c r="D158" s="15">
        <v>6.77</v>
      </c>
      <c r="E158" s="15"/>
      <c r="F158" s="31">
        <f t="shared" si="37"/>
        <v>2.7080000000000002</v>
      </c>
      <c r="G158" s="16">
        <f t="shared" si="38"/>
        <v>9.4779999999999998</v>
      </c>
      <c r="H158" s="5"/>
      <c r="I158" s="5"/>
      <c r="J158" s="15">
        <f t="shared" si="39"/>
        <v>0</v>
      </c>
    </row>
    <row r="159" spans="1:10" hidden="1" outlineLevel="1">
      <c r="A159" s="105"/>
      <c r="B159" s="6" t="s">
        <v>207</v>
      </c>
      <c r="C159" s="6" t="s">
        <v>208</v>
      </c>
      <c r="D159" s="15">
        <v>7.8</v>
      </c>
      <c r="E159" s="15"/>
      <c r="F159" s="31">
        <f t="shared" si="37"/>
        <v>3.12</v>
      </c>
      <c r="G159" s="16">
        <f t="shared" si="38"/>
        <v>10.92</v>
      </c>
      <c r="H159" s="5"/>
      <c r="I159" s="5"/>
      <c r="J159" s="15">
        <f t="shared" si="39"/>
        <v>0</v>
      </c>
    </row>
    <row r="160" spans="1:10" hidden="1" outlineLevel="1">
      <c r="A160" s="105"/>
      <c r="B160" s="6" t="s">
        <v>4480</v>
      </c>
      <c r="C160" s="6" t="s">
        <v>4481</v>
      </c>
      <c r="D160" s="15">
        <v>6.66</v>
      </c>
      <c r="E160" s="15"/>
      <c r="F160" s="31">
        <f t="shared" si="37"/>
        <v>2.6640000000000001</v>
      </c>
      <c r="G160" s="16">
        <f t="shared" si="38"/>
        <v>9.3239999999999998</v>
      </c>
      <c r="H160" s="5"/>
      <c r="I160" s="5"/>
      <c r="J160" s="15">
        <f t="shared" si="39"/>
        <v>0</v>
      </c>
    </row>
    <row r="161" spans="1:10" hidden="1" outlineLevel="1">
      <c r="A161" s="105"/>
      <c r="B161" s="6" t="s">
        <v>4475</v>
      </c>
      <c r="C161" s="6" t="s">
        <v>4476</v>
      </c>
      <c r="D161" s="15">
        <v>7.8</v>
      </c>
      <c r="E161" s="15"/>
      <c r="F161" s="31">
        <f t="shared" ref="F161" si="43">D161*40%</f>
        <v>3.12</v>
      </c>
      <c r="G161" s="16">
        <f t="shared" ref="G161" si="44">F161+D161</f>
        <v>10.92</v>
      </c>
      <c r="H161" s="5"/>
      <c r="I161" s="5"/>
      <c r="J161" s="15">
        <f t="shared" ref="J161" si="45">SUM(I161*G161)</f>
        <v>0</v>
      </c>
    </row>
    <row r="162" spans="1:10" outlineLevel="1">
      <c r="A162" s="105"/>
      <c r="B162" s="6" t="s">
        <v>4475</v>
      </c>
      <c r="C162" s="6" t="s">
        <v>4477</v>
      </c>
      <c r="D162" s="15">
        <v>6.18</v>
      </c>
      <c r="E162" s="15"/>
      <c r="F162" s="31">
        <f t="shared" ref="F162" si="46">D162*40%</f>
        <v>2.472</v>
      </c>
      <c r="G162" s="16">
        <f t="shared" ref="G162" si="47">F162+D162</f>
        <v>8.6519999999999992</v>
      </c>
      <c r="H162" s="5"/>
      <c r="I162" s="20">
        <v>1</v>
      </c>
      <c r="J162" s="15">
        <f t="shared" ref="J162" si="48">SUM(I162*G162)</f>
        <v>8.6519999999999992</v>
      </c>
    </row>
    <row r="163" spans="1:10" hidden="1" outlineLevel="1">
      <c r="A163" s="105"/>
      <c r="B163" s="6" t="s">
        <v>209</v>
      </c>
      <c r="C163" s="6" t="s">
        <v>210</v>
      </c>
      <c r="D163" s="15">
        <v>15.14</v>
      </c>
      <c r="E163" s="15"/>
      <c r="F163" s="31">
        <f t="shared" si="37"/>
        <v>6.0560000000000009</v>
      </c>
      <c r="G163" s="16">
        <f t="shared" si="38"/>
        <v>21.196000000000002</v>
      </c>
      <c r="H163" s="5"/>
      <c r="I163" s="5"/>
      <c r="J163" s="15">
        <f t="shared" si="39"/>
        <v>0</v>
      </c>
    </row>
    <row r="164" spans="1:10" hidden="1" outlineLevel="1">
      <c r="A164" s="105"/>
      <c r="B164" s="6" t="s">
        <v>211</v>
      </c>
      <c r="C164" s="6" t="s">
        <v>212</v>
      </c>
      <c r="D164" s="15">
        <v>30.95</v>
      </c>
      <c r="E164" s="15"/>
      <c r="F164" s="31">
        <f t="shared" si="37"/>
        <v>12.38</v>
      </c>
      <c r="G164" s="16">
        <f t="shared" si="38"/>
        <v>43.33</v>
      </c>
      <c r="H164" s="5"/>
      <c r="I164" s="5"/>
      <c r="J164" s="15">
        <f t="shared" si="39"/>
        <v>0</v>
      </c>
    </row>
    <row r="165" spans="1:10" hidden="1" outlineLevel="1">
      <c r="A165" s="105"/>
      <c r="B165" s="6" t="s">
        <v>213</v>
      </c>
      <c r="C165" s="6" t="s">
        <v>214</v>
      </c>
      <c r="D165" s="15">
        <v>20.52</v>
      </c>
      <c r="E165" s="15"/>
      <c r="F165" s="31">
        <f t="shared" si="37"/>
        <v>8.2080000000000002</v>
      </c>
      <c r="G165" s="16">
        <f t="shared" si="38"/>
        <v>28.728000000000002</v>
      </c>
      <c r="H165" s="5"/>
      <c r="I165" s="5"/>
      <c r="J165" s="15">
        <f t="shared" si="39"/>
        <v>0</v>
      </c>
    </row>
    <row r="166" spans="1:10" hidden="1" outlineLevel="1">
      <c r="A166" s="105"/>
      <c r="B166" s="6" t="s">
        <v>215</v>
      </c>
      <c r="C166" s="6" t="s">
        <v>216</v>
      </c>
      <c r="D166" s="15">
        <v>14.26</v>
      </c>
      <c r="E166" s="15"/>
      <c r="F166" s="31">
        <f t="shared" si="37"/>
        <v>5.7040000000000006</v>
      </c>
      <c r="G166" s="16">
        <f t="shared" si="38"/>
        <v>19.963999999999999</v>
      </c>
      <c r="H166" s="5"/>
      <c r="I166" s="5"/>
      <c r="J166" s="15">
        <f t="shared" si="39"/>
        <v>0</v>
      </c>
    </row>
    <row r="167" spans="1:10" outlineLevel="1">
      <c r="A167" s="105"/>
      <c r="B167" s="5"/>
      <c r="C167" s="5" t="s">
        <v>4507</v>
      </c>
      <c r="D167" s="15">
        <v>69.180000000000007</v>
      </c>
      <c r="E167" s="15"/>
      <c r="F167" s="31">
        <f t="shared" si="37"/>
        <v>27.672000000000004</v>
      </c>
      <c r="G167" s="16">
        <f t="shared" si="38"/>
        <v>96.852000000000004</v>
      </c>
      <c r="H167" s="5"/>
      <c r="I167" s="20">
        <v>1</v>
      </c>
      <c r="J167" s="15">
        <f t="shared" si="39"/>
        <v>96.852000000000004</v>
      </c>
    </row>
    <row r="168" spans="1:10" hidden="1" outlineLevel="1">
      <c r="A168" s="105"/>
      <c r="B168" s="34" t="s">
        <v>217</v>
      </c>
      <c r="C168" s="34" t="s">
        <v>218</v>
      </c>
      <c r="D168" s="35">
        <v>22.81</v>
      </c>
      <c r="E168" s="35"/>
      <c r="F168" s="36">
        <f t="shared" si="37"/>
        <v>9.1240000000000006</v>
      </c>
      <c r="G168" s="37">
        <f t="shared" si="38"/>
        <v>31.933999999999997</v>
      </c>
      <c r="H168" s="38"/>
      <c r="I168" s="38"/>
      <c r="J168" s="35">
        <f t="shared" si="39"/>
        <v>0</v>
      </c>
    </row>
    <row r="169" spans="1:10" hidden="1" outlineLevel="1">
      <c r="A169" s="107"/>
      <c r="B169" s="199" t="s">
        <v>219</v>
      </c>
      <c r="C169" s="200"/>
      <c r="D169" s="200"/>
      <c r="E169" s="200"/>
      <c r="F169" s="200"/>
      <c r="G169" s="200"/>
      <c r="H169" s="200"/>
      <c r="I169" s="200"/>
      <c r="J169" s="201"/>
    </row>
    <row r="170" spans="1:10" hidden="1" outlineLevel="1">
      <c r="A170" s="105"/>
      <c r="B170" s="6" t="s">
        <v>220</v>
      </c>
      <c r="C170" s="6" t="s">
        <v>221</v>
      </c>
      <c r="D170" s="15">
        <v>80.260000000000005</v>
      </c>
      <c r="E170" s="15"/>
      <c r="F170" s="31">
        <f>D170*40%</f>
        <v>32.104000000000006</v>
      </c>
      <c r="G170" s="16">
        <f>F170+D170</f>
        <v>112.364</v>
      </c>
      <c r="H170" s="5"/>
      <c r="I170" s="14"/>
      <c r="J170" s="15">
        <f t="shared" ref="J170:J185" si="49">SUM(I170*G170)</f>
        <v>0</v>
      </c>
    </row>
    <row r="171" spans="1:10" hidden="1" outlineLevel="1">
      <c r="A171" s="105"/>
      <c r="B171" s="6" t="s">
        <v>222</v>
      </c>
      <c r="C171" s="6" t="s">
        <v>223</v>
      </c>
      <c r="D171" s="15">
        <v>59.41</v>
      </c>
      <c r="E171" s="15"/>
      <c r="F171" s="31">
        <f>D171*20%</f>
        <v>11.882</v>
      </c>
      <c r="G171" s="16">
        <f t="shared" ref="G171:G183" si="50">F171+D171</f>
        <v>71.292000000000002</v>
      </c>
      <c r="H171" s="5"/>
      <c r="I171" s="14"/>
      <c r="J171" s="15">
        <f t="shared" si="49"/>
        <v>0</v>
      </c>
    </row>
    <row r="172" spans="1:10" hidden="1" outlineLevel="1">
      <c r="A172" s="105"/>
      <c r="B172" s="6" t="s">
        <v>4493</v>
      </c>
      <c r="C172" s="6" t="s">
        <v>4494</v>
      </c>
      <c r="D172" s="15">
        <v>36.06</v>
      </c>
      <c r="E172" s="15"/>
      <c r="F172" s="31">
        <f t="shared" ref="F172:F183" si="51">D172*20%</f>
        <v>7.2120000000000006</v>
      </c>
      <c r="G172" s="16">
        <f t="shared" si="50"/>
        <v>43.272000000000006</v>
      </c>
      <c r="H172" s="5"/>
      <c r="I172" s="14"/>
      <c r="J172" s="15">
        <f t="shared" si="49"/>
        <v>0</v>
      </c>
    </row>
    <row r="173" spans="1:10" hidden="1" outlineLevel="1">
      <c r="A173" s="105"/>
      <c r="B173" s="6" t="s">
        <v>4495</v>
      </c>
      <c r="C173" s="6" t="s">
        <v>4496</v>
      </c>
      <c r="D173" s="15">
        <v>30.97</v>
      </c>
      <c r="E173" s="15"/>
      <c r="F173" s="31">
        <f t="shared" si="51"/>
        <v>6.194</v>
      </c>
      <c r="G173" s="16">
        <f t="shared" si="50"/>
        <v>37.164000000000001</v>
      </c>
      <c r="H173" s="5"/>
      <c r="I173" s="14"/>
      <c r="J173" s="15">
        <f t="shared" si="49"/>
        <v>0</v>
      </c>
    </row>
    <row r="174" spans="1:10" hidden="1" outlineLevel="1">
      <c r="A174" s="105"/>
      <c r="B174" s="6" t="s">
        <v>4497</v>
      </c>
      <c r="C174" s="6" t="s">
        <v>4498</v>
      </c>
      <c r="D174" s="15">
        <v>31.57</v>
      </c>
      <c r="E174" s="15"/>
      <c r="F174" s="31">
        <f t="shared" si="51"/>
        <v>6.3140000000000001</v>
      </c>
      <c r="G174" s="16">
        <f t="shared" si="50"/>
        <v>37.884</v>
      </c>
      <c r="H174" s="5"/>
      <c r="I174" s="14"/>
      <c r="J174" s="15">
        <f t="shared" si="49"/>
        <v>0</v>
      </c>
    </row>
    <row r="175" spans="1:10" hidden="1" outlineLevel="1">
      <c r="A175" s="105"/>
      <c r="B175" s="6" t="s">
        <v>4499</v>
      </c>
      <c r="C175" s="6" t="s">
        <v>4500</v>
      </c>
      <c r="D175" s="15">
        <v>93.25</v>
      </c>
      <c r="E175" s="15"/>
      <c r="F175" s="31">
        <f t="shared" si="51"/>
        <v>18.650000000000002</v>
      </c>
      <c r="G175" s="16">
        <f t="shared" si="50"/>
        <v>111.9</v>
      </c>
      <c r="H175" s="5"/>
      <c r="I175" s="14"/>
      <c r="J175" s="15">
        <f t="shared" si="49"/>
        <v>0</v>
      </c>
    </row>
    <row r="176" spans="1:10" hidden="1" outlineLevel="1">
      <c r="A176" s="105"/>
      <c r="B176" s="5"/>
      <c r="C176" s="6" t="s">
        <v>224</v>
      </c>
      <c r="D176" s="15">
        <v>136.24</v>
      </c>
      <c r="E176" s="15"/>
      <c r="F176" s="31">
        <f t="shared" si="51"/>
        <v>27.248000000000005</v>
      </c>
      <c r="G176" s="16">
        <f t="shared" si="50"/>
        <v>163.488</v>
      </c>
      <c r="H176" s="5"/>
      <c r="I176" s="14"/>
      <c r="J176" s="15">
        <f t="shared" si="49"/>
        <v>0</v>
      </c>
    </row>
    <row r="177" spans="1:10" hidden="1" outlineLevel="1">
      <c r="A177" s="105"/>
      <c r="B177" s="202" t="s">
        <v>217</v>
      </c>
      <c r="C177" s="203"/>
      <c r="D177" s="203"/>
      <c r="E177" s="203"/>
      <c r="F177" s="203"/>
      <c r="G177" s="203"/>
      <c r="H177" s="203"/>
      <c r="I177" s="203"/>
      <c r="J177" s="204"/>
    </row>
    <row r="178" spans="1:10" hidden="1" outlineLevel="1">
      <c r="A178" s="105"/>
      <c r="B178" s="6"/>
      <c r="C178" s="6"/>
      <c r="D178" s="15"/>
      <c r="E178" s="15"/>
      <c r="F178" s="31">
        <f t="shared" si="51"/>
        <v>0</v>
      </c>
      <c r="G178" s="16">
        <f t="shared" si="50"/>
        <v>0</v>
      </c>
      <c r="H178" s="5"/>
      <c r="I178" s="20"/>
      <c r="J178" s="15">
        <f t="shared" ref="J178:J183" si="52">SUM(I178*G178)</f>
        <v>0</v>
      </c>
    </row>
    <row r="179" spans="1:10" hidden="1" outlineLevel="1">
      <c r="A179" s="105"/>
      <c r="B179" s="6"/>
      <c r="C179" s="6"/>
      <c r="D179" s="15"/>
      <c r="E179" s="15"/>
      <c r="F179" s="31">
        <f t="shared" si="51"/>
        <v>0</v>
      </c>
      <c r="G179" s="16">
        <f t="shared" si="50"/>
        <v>0</v>
      </c>
      <c r="H179" s="5"/>
      <c r="I179" s="20"/>
      <c r="J179" s="15">
        <f t="shared" si="52"/>
        <v>0</v>
      </c>
    </row>
    <row r="180" spans="1:10" hidden="1" outlineLevel="1">
      <c r="A180" s="105"/>
      <c r="B180" s="6"/>
      <c r="C180" s="6"/>
      <c r="D180" s="15"/>
      <c r="E180" s="15"/>
      <c r="F180" s="31">
        <f t="shared" si="51"/>
        <v>0</v>
      </c>
      <c r="G180" s="16">
        <f t="shared" si="50"/>
        <v>0</v>
      </c>
      <c r="H180" s="5"/>
      <c r="I180" s="20"/>
      <c r="J180" s="15">
        <f t="shared" si="52"/>
        <v>0</v>
      </c>
    </row>
    <row r="181" spans="1:10" hidden="1" outlineLevel="1">
      <c r="A181" s="105"/>
      <c r="B181" s="6"/>
      <c r="C181" s="6"/>
      <c r="D181" s="15"/>
      <c r="E181" s="15"/>
      <c r="F181" s="31">
        <f t="shared" si="51"/>
        <v>0</v>
      </c>
      <c r="G181" s="16">
        <f t="shared" si="50"/>
        <v>0</v>
      </c>
      <c r="H181" s="5"/>
      <c r="I181" s="20"/>
      <c r="J181" s="15">
        <f t="shared" si="52"/>
        <v>0</v>
      </c>
    </row>
    <row r="182" spans="1:10" hidden="1" outlineLevel="1">
      <c r="A182" s="105"/>
      <c r="B182" s="6"/>
      <c r="C182" s="6"/>
      <c r="D182" s="15"/>
      <c r="E182" s="15"/>
      <c r="F182" s="31">
        <f t="shared" si="51"/>
        <v>0</v>
      </c>
      <c r="G182" s="16">
        <f t="shared" si="50"/>
        <v>0</v>
      </c>
      <c r="H182" s="5"/>
      <c r="I182" s="20"/>
      <c r="J182" s="15">
        <f t="shared" si="52"/>
        <v>0</v>
      </c>
    </row>
    <row r="183" spans="1:10" hidden="1" outlineLevel="1">
      <c r="A183" s="105"/>
      <c r="B183" s="6"/>
      <c r="C183" s="6"/>
      <c r="D183" s="15"/>
      <c r="E183" s="15"/>
      <c r="F183" s="31">
        <f t="shared" si="51"/>
        <v>0</v>
      </c>
      <c r="G183" s="16">
        <f t="shared" si="50"/>
        <v>0</v>
      </c>
      <c r="H183" s="5"/>
      <c r="I183" s="20"/>
      <c r="J183" s="15">
        <f t="shared" si="52"/>
        <v>0</v>
      </c>
    </row>
    <row r="184" spans="1:10" hidden="1" outlineLevel="1">
      <c r="A184" s="105"/>
      <c r="B184" s="8"/>
      <c r="C184" s="6"/>
      <c r="D184" s="15"/>
      <c r="E184" s="15"/>
      <c r="F184" s="15">
        <v>0</v>
      </c>
      <c r="G184" s="15">
        <v>0</v>
      </c>
      <c r="H184" s="15"/>
      <c r="I184" s="125"/>
      <c r="J184" s="15">
        <v>0</v>
      </c>
    </row>
    <row r="185" spans="1:10" hidden="1" outlineLevel="1">
      <c r="A185" s="105"/>
      <c r="B185" s="112"/>
      <c r="C185" s="113"/>
      <c r="D185" s="114"/>
      <c r="E185" s="114"/>
      <c r="F185" s="115"/>
      <c r="G185" s="116"/>
      <c r="H185" s="113"/>
      <c r="I185" s="117"/>
      <c r="J185" s="15">
        <f t="shared" si="49"/>
        <v>0</v>
      </c>
    </row>
    <row r="186" spans="1:10">
      <c r="A186" s="105"/>
      <c r="B186" s="162" t="s">
        <v>4470</v>
      </c>
      <c r="C186" s="163"/>
      <c r="D186" s="163"/>
      <c r="E186" s="163"/>
      <c r="F186" s="163"/>
      <c r="G186" s="163"/>
      <c r="H186" s="163"/>
      <c r="I186" s="164"/>
      <c r="J186" s="33">
        <f>SUM(J136:J185)</f>
        <v>105.504</v>
      </c>
    </row>
    <row r="187" spans="1:10" hidden="1">
      <c r="A187" s="106"/>
      <c r="B187" s="189" t="s">
        <v>225</v>
      </c>
      <c r="C187" s="172"/>
      <c r="D187" s="172"/>
      <c r="E187" s="172"/>
      <c r="F187" s="172"/>
      <c r="G187" s="172"/>
      <c r="H187" s="172"/>
      <c r="I187" s="172"/>
      <c r="J187" s="173"/>
    </row>
    <row r="188" spans="1:10" hidden="1" outlineLevel="1">
      <c r="A188" s="105"/>
      <c r="B188" s="39" t="s">
        <v>226</v>
      </c>
      <c r="C188" s="6" t="s">
        <v>227</v>
      </c>
      <c r="D188" s="15">
        <v>39.6</v>
      </c>
      <c r="E188" s="15">
        <f t="shared" ref="E188:E214" si="53">D188*20%</f>
        <v>7.9200000000000008</v>
      </c>
      <c r="F188" s="16">
        <f t="shared" ref="F188:F214" si="54">E188+D188</f>
        <v>47.52</v>
      </c>
      <c r="G188" s="29">
        <v>10.38</v>
      </c>
      <c r="H188" s="16">
        <f t="shared" ref="H188:H214" si="55">SUM(F188:G188)</f>
        <v>57.900000000000006</v>
      </c>
      <c r="I188" s="23"/>
      <c r="J188" s="15">
        <f t="shared" ref="J188:J214" si="56">SUM(H188*I188)</f>
        <v>0</v>
      </c>
    </row>
    <row r="189" spans="1:10" hidden="1" outlineLevel="1">
      <c r="A189" s="105"/>
      <c r="B189" s="6" t="s">
        <v>228</v>
      </c>
      <c r="C189" s="6" t="s">
        <v>229</v>
      </c>
      <c r="D189" s="15">
        <v>66.28</v>
      </c>
      <c r="E189" s="19">
        <f t="shared" si="53"/>
        <v>13.256</v>
      </c>
      <c r="F189" s="16">
        <f t="shared" si="54"/>
        <v>79.536000000000001</v>
      </c>
      <c r="G189" s="5"/>
      <c r="H189" s="24">
        <f t="shared" si="55"/>
        <v>79.536000000000001</v>
      </c>
      <c r="I189" s="23"/>
      <c r="J189" s="19">
        <f t="shared" si="56"/>
        <v>0</v>
      </c>
    </row>
    <row r="190" spans="1:10" hidden="1" outlineLevel="1">
      <c r="A190" s="105"/>
      <c r="B190" s="6" t="s">
        <v>230</v>
      </c>
      <c r="C190" s="6" t="s">
        <v>231</v>
      </c>
      <c r="D190" s="15">
        <v>59.2</v>
      </c>
      <c r="E190" s="15">
        <f t="shared" si="53"/>
        <v>11.840000000000002</v>
      </c>
      <c r="F190" s="16">
        <f t="shared" si="54"/>
        <v>71.040000000000006</v>
      </c>
      <c r="G190" s="29">
        <v>0</v>
      </c>
      <c r="H190" s="16">
        <f t="shared" si="55"/>
        <v>71.040000000000006</v>
      </c>
      <c r="I190" s="23"/>
      <c r="J190" s="15">
        <f t="shared" si="56"/>
        <v>0</v>
      </c>
    </row>
    <row r="191" spans="1:10" hidden="1" outlineLevel="1">
      <c r="A191" s="105"/>
      <c r="B191" s="6" t="s">
        <v>232</v>
      </c>
      <c r="C191" s="6" t="s">
        <v>233</v>
      </c>
      <c r="D191" s="15">
        <v>35.200000000000003</v>
      </c>
      <c r="E191" s="19">
        <f t="shared" si="53"/>
        <v>7.0400000000000009</v>
      </c>
      <c r="F191" s="16">
        <f t="shared" si="54"/>
        <v>42.24</v>
      </c>
      <c r="G191" s="9">
        <v>0</v>
      </c>
      <c r="H191" s="24">
        <f t="shared" si="55"/>
        <v>42.24</v>
      </c>
      <c r="I191" s="23"/>
      <c r="J191" s="19">
        <f t="shared" si="56"/>
        <v>0</v>
      </c>
    </row>
    <row r="192" spans="1:10" hidden="1" outlineLevel="1">
      <c r="A192" s="105"/>
      <c r="B192" s="6" t="s">
        <v>234</v>
      </c>
      <c r="C192" s="6" t="s">
        <v>235</v>
      </c>
      <c r="D192" s="15">
        <v>140</v>
      </c>
      <c r="E192" s="15">
        <f t="shared" si="53"/>
        <v>28</v>
      </c>
      <c r="F192" s="16">
        <f t="shared" si="54"/>
        <v>168</v>
      </c>
      <c r="G192" s="29">
        <v>10.38</v>
      </c>
      <c r="H192" s="16">
        <f t="shared" si="55"/>
        <v>178.38</v>
      </c>
      <c r="I192" s="23"/>
      <c r="J192" s="15">
        <f t="shared" si="56"/>
        <v>0</v>
      </c>
    </row>
    <row r="193" spans="1:10" hidden="1" outlineLevel="1">
      <c r="A193" s="105"/>
      <c r="B193" s="6" t="s">
        <v>236</v>
      </c>
      <c r="C193" s="6" t="s">
        <v>237</v>
      </c>
      <c r="D193" s="15">
        <v>140</v>
      </c>
      <c r="E193" s="19">
        <f t="shared" si="53"/>
        <v>28</v>
      </c>
      <c r="F193" s="16">
        <f t="shared" si="54"/>
        <v>168</v>
      </c>
      <c r="G193" s="9">
        <v>0</v>
      </c>
      <c r="H193" s="24">
        <f t="shared" si="55"/>
        <v>168</v>
      </c>
      <c r="I193" s="23"/>
      <c r="J193" s="19">
        <f t="shared" si="56"/>
        <v>0</v>
      </c>
    </row>
    <row r="194" spans="1:10" hidden="1" outlineLevel="1">
      <c r="A194" s="105"/>
      <c r="B194" s="6" t="s">
        <v>238</v>
      </c>
      <c r="C194" s="6" t="s">
        <v>239</v>
      </c>
      <c r="D194" s="15">
        <v>189.6</v>
      </c>
      <c r="E194" s="15">
        <f t="shared" si="53"/>
        <v>37.92</v>
      </c>
      <c r="F194" s="16">
        <f t="shared" si="54"/>
        <v>227.51999999999998</v>
      </c>
      <c r="G194" s="29">
        <v>0</v>
      </c>
      <c r="H194" s="16">
        <f t="shared" si="55"/>
        <v>227.51999999999998</v>
      </c>
      <c r="I194" s="23"/>
      <c r="J194" s="15">
        <f t="shared" si="56"/>
        <v>0</v>
      </c>
    </row>
    <row r="195" spans="1:10" hidden="1" outlineLevel="1">
      <c r="A195" s="105"/>
      <c r="B195" s="40" t="s">
        <v>240</v>
      </c>
      <c r="C195" s="6" t="s">
        <v>241</v>
      </c>
      <c r="D195" s="15">
        <v>189.6</v>
      </c>
      <c r="E195" s="19">
        <f t="shared" si="53"/>
        <v>37.92</v>
      </c>
      <c r="F195" s="16">
        <f t="shared" si="54"/>
        <v>227.51999999999998</v>
      </c>
      <c r="G195" s="9">
        <v>0</v>
      </c>
      <c r="H195" s="24">
        <f t="shared" si="55"/>
        <v>227.51999999999998</v>
      </c>
      <c r="I195" s="23"/>
      <c r="J195" s="19">
        <f t="shared" si="56"/>
        <v>0</v>
      </c>
    </row>
    <row r="196" spans="1:10" hidden="1" outlineLevel="1">
      <c r="A196" s="105"/>
      <c r="B196" s="6" t="s">
        <v>242</v>
      </c>
      <c r="C196" s="6" t="s">
        <v>243</v>
      </c>
      <c r="D196" s="15">
        <v>189.6</v>
      </c>
      <c r="E196" s="15">
        <f t="shared" si="53"/>
        <v>37.92</v>
      </c>
      <c r="F196" s="16">
        <f t="shared" si="54"/>
        <v>227.51999999999998</v>
      </c>
      <c r="G196" s="29">
        <v>0</v>
      </c>
      <c r="H196" s="16">
        <f t="shared" si="55"/>
        <v>227.51999999999998</v>
      </c>
      <c r="I196" s="23"/>
      <c r="J196" s="15">
        <f t="shared" si="56"/>
        <v>0</v>
      </c>
    </row>
    <row r="197" spans="1:10" hidden="1" outlineLevel="1">
      <c r="A197" s="105"/>
      <c r="B197" s="6" t="s">
        <v>244</v>
      </c>
      <c r="C197" s="6" t="s">
        <v>245</v>
      </c>
      <c r="D197" s="15">
        <v>140</v>
      </c>
      <c r="E197" s="19">
        <f t="shared" si="53"/>
        <v>28</v>
      </c>
      <c r="F197" s="16">
        <f t="shared" si="54"/>
        <v>168</v>
      </c>
      <c r="G197" s="9">
        <v>10.38</v>
      </c>
      <c r="H197" s="24">
        <f t="shared" si="55"/>
        <v>178.38</v>
      </c>
      <c r="I197" s="23"/>
      <c r="J197" s="19">
        <f t="shared" si="56"/>
        <v>0</v>
      </c>
    </row>
    <row r="198" spans="1:10" hidden="1" outlineLevel="1">
      <c r="A198" s="105"/>
      <c r="B198" s="6" t="s">
        <v>246</v>
      </c>
      <c r="C198" s="6" t="s">
        <v>247</v>
      </c>
      <c r="D198" s="15">
        <v>213.3</v>
      </c>
      <c r="E198" s="15">
        <f t="shared" si="53"/>
        <v>42.660000000000004</v>
      </c>
      <c r="F198" s="16">
        <f t="shared" si="54"/>
        <v>255.96</v>
      </c>
      <c r="G198" s="29">
        <v>0</v>
      </c>
      <c r="H198" s="16">
        <f t="shared" si="55"/>
        <v>255.96</v>
      </c>
      <c r="I198" s="23"/>
      <c r="J198" s="15">
        <f t="shared" si="56"/>
        <v>0</v>
      </c>
    </row>
    <row r="199" spans="1:10" hidden="1" outlineLevel="1">
      <c r="A199" s="105"/>
      <c r="B199" s="6" t="s">
        <v>248</v>
      </c>
      <c r="C199" s="6" t="s">
        <v>249</v>
      </c>
      <c r="D199" s="15">
        <v>35.200000000000003</v>
      </c>
      <c r="E199" s="19">
        <f t="shared" si="53"/>
        <v>7.0400000000000009</v>
      </c>
      <c r="F199" s="16">
        <f t="shared" si="54"/>
        <v>42.24</v>
      </c>
      <c r="G199" s="29">
        <v>0</v>
      </c>
      <c r="H199" s="24">
        <f t="shared" si="55"/>
        <v>42.24</v>
      </c>
      <c r="I199" s="23"/>
      <c r="J199" s="19">
        <f t="shared" si="56"/>
        <v>0</v>
      </c>
    </row>
    <row r="200" spans="1:10" hidden="1" outlineLevel="1">
      <c r="A200" s="105"/>
      <c r="B200" s="39" t="s">
        <v>250</v>
      </c>
      <c r="C200" s="6" t="s">
        <v>251</v>
      </c>
      <c r="D200" s="15">
        <v>260.10000000000002</v>
      </c>
      <c r="E200" s="15">
        <f t="shared" si="53"/>
        <v>52.02000000000001</v>
      </c>
      <c r="F200" s="16">
        <f t="shared" si="54"/>
        <v>312.12</v>
      </c>
      <c r="G200" s="29">
        <v>10.38</v>
      </c>
      <c r="H200" s="16">
        <f t="shared" si="55"/>
        <v>322.5</v>
      </c>
      <c r="I200" s="23"/>
      <c r="J200" s="15">
        <f t="shared" si="56"/>
        <v>0</v>
      </c>
    </row>
    <row r="201" spans="1:10" hidden="1" outlineLevel="1">
      <c r="A201" s="105"/>
      <c r="B201" s="6" t="s">
        <v>252</v>
      </c>
      <c r="C201" s="6" t="s">
        <v>253</v>
      </c>
      <c r="D201" s="15">
        <v>121.5</v>
      </c>
      <c r="E201" s="19">
        <f t="shared" si="53"/>
        <v>24.3</v>
      </c>
      <c r="F201" s="16">
        <f t="shared" si="54"/>
        <v>145.80000000000001</v>
      </c>
      <c r="G201" s="29">
        <v>10.38</v>
      </c>
      <c r="H201" s="24">
        <f t="shared" si="55"/>
        <v>156.18</v>
      </c>
      <c r="I201" s="23"/>
      <c r="J201" s="19">
        <f t="shared" si="56"/>
        <v>0</v>
      </c>
    </row>
    <row r="202" spans="1:10" hidden="1" outlineLevel="1">
      <c r="A202" s="105"/>
      <c r="B202" s="6" t="s">
        <v>254</v>
      </c>
      <c r="C202" s="6" t="s">
        <v>255</v>
      </c>
      <c r="D202" s="15">
        <v>56.7</v>
      </c>
      <c r="E202" s="15">
        <f t="shared" si="53"/>
        <v>11.340000000000002</v>
      </c>
      <c r="F202" s="16">
        <f t="shared" si="54"/>
        <v>68.040000000000006</v>
      </c>
      <c r="G202" s="29">
        <v>10.38</v>
      </c>
      <c r="H202" s="16">
        <f t="shared" si="55"/>
        <v>78.42</v>
      </c>
      <c r="I202" s="23"/>
      <c r="J202" s="15">
        <f t="shared" si="56"/>
        <v>0</v>
      </c>
    </row>
    <row r="203" spans="1:10" hidden="1" outlineLevel="1">
      <c r="A203" s="105"/>
      <c r="B203" s="6" t="s">
        <v>256</v>
      </c>
      <c r="C203" s="6" t="s">
        <v>255</v>
      </c>
      <c r="D203" s="15">
        <v>48.6</v>
      </c>
      <c r="E203" s="19">
        <f t="shared" si="53"/>
        <v>9.7200000000000006</v>
      </c>
      <c r="F203" s="16">
        <f t="shared" si="54"/>
        <v>58.32</v>
      </c>
      <c r="G203" s="9">
        <v>10.38</v>
      </c>
      <c r="H203" s="24">
        <f t="shared" si="55"/>
        <v>68.7</v>
      </c>
      <c r="I203" s="23"/>
      <c r="J203" s="19">
        <f t="shared" si="56"/>
        <v>0</v>
      </c>
    </row>
    <row r="204" spans="1:10" hidden="1" outlineLevel="1">
      <c r="A204" s="105"/>
      <c r="B204" s="6" t="s">
        <v>257</v>
      </c>
      <c r="C204" s="6" t="s">
        <v>258</v>
      </c>
      <c r="D204" s="15">
        <v>89.1</v>
      </c>
      <c r="E204" s="15">
        <f t="shared" si="53"/>
        <v>17.82</v>
      </c>
      <c r="F204" s="16">
        <f t="shared" si="54"/>
        <v>106.91999999999999</v>
      </c>
      <c r="G204" s="29">
        <v>10.38</v>
      </c>
      <c r="H204" s="16">
        <f t="shared" si="55"/>
        <v>117.29999999999998</v>
      </c>
      <c r="I204" s="23"/>
      <c r="J204" s="15">
        <f t="shared" si="56"/>
        <v>0</v>
      </c>
    </row>
    <row r="205" spans="1:10" hidden="1" outlineLevel="1">
      <c r="A205" s="105"/>
      <c r="B205" s="6" t="s">
        <v>259</v>
      </c>
      <c r="C205" s="6" t="s">
        <v>260</v>
      </c>
      <c r="D205" s="15">
        <v>51.54</v>
      </c>
      <c r="E205" s="19">
        <f t="shared" si="53"/>
        <v>10.308</v>
      </c>
      <c r="F205" s="16">
        <f t="shared" si="54"/>
        <v>61.847999999999999</v>
      </c>
      <c r="G205" s="9">
        <v>10.38</v>
      </c>
      <c r="H205" s="24">
        <f t="shared" si="55"/>
        <v>72.227999999999994</v>
      </c>
      <c r="I205" s="23"/>
      <c r="J205" s="19">
        <f t="shared" si="56"/>
        <v>0</v>
      </c>
    </row>
    <row r="206" spans="1:10" hidden="1" outlineLevel="1">
      <c r="A206" s="105"/>
      <c r="B206" s="6" t="s">
        <v>261</v>
      </c>
      <c r="C206" s="6" t="s">
        <v>255</v>
      </c>
      <c r="D206" s="15">
        <v>56.7</v>
      </c>
      <c r="E206" s="15">
        <f t="shared" si="53"/>
        <v>11.340000000000002</v>
      </c>
      <c r="F206" s="16">
        <f t="shared" si="54"/>
        <v>68.040000000000006</v>
      </c>
      <c r="G206" s="29">
        <v>10.38</v>
      </c>
      <c r="H206" s="16">
        <f t="shared" si="55"/>
        <v>78.42</v>
      </c>
      <c r="I206" s="23"/>
      <c r="J206" s="15">
        <f t="shared" si="56"/>
        <v>0</v>
      </c>
    </row>
    <row r="207" spans="1:10" hidden="1" outlineLevel="1">
      <c r="A207" s="105"/>
      <c r="B207" s="40" t="s">
        <v>262</v>
      </c>
      <c r="C207" s="6" t="s">
        <v>263</v>
      </c>
      <c r="D207" s="15">
        <v>81</v>
      </c>
      <c r="E207" s="19">
        <f t="shared" si="53"/>
        <v>16.2</v>
      </c>
      <c r="F207" s="16">
        <f t="shared" si="54"/>
        <v>97.2</v>
      </c>
      <c r="G207" s="9">
        <v>10.38</v>
      </c>
      <c r="H207" s="24">
        <f t="shared" si="55"/>
        <v>107.58</v>
      </c>
      <c r="I207" s="23"/>
      <c r="J207" s="19">
        <f t="shared" si="56"/>
        <v>0</v>
      </c>
    </row>
    <row r="208" spans="1:10" hidden="1" outlineLevel="1">
      <c r="A208" s="105"/>
      <c r="B208" s="6" t="s">
        <v>264</v>
      </c>
      <c r="C208" s="6" t="s">
        <v>265</v>
      </c>
      <c r="D208" s="15">
        <v>48.6</v>
      </c>
      <c r="E208" s="15">
        <f t="shared" si="53"/>
        <v>9.7200000000000006</v>
      </c>
      <c r="F208" s="16">
        <f t="shared" si="54"/>
        <v>58.32</v>
      </c>
      <c r="G208" s="29">
        <v>10.38</v>
      </c>
      <c r="H208" s="16">
        <f t="shared" si="55"/>
        <v>68.7</v>
      </c>
      <c r="I208" s="23"/>
      <c r="J208" s="15">
        <f t="shared" si="56"/>
        <v>0</v>
      </c>
    </row>
    <row r="209" spans="1:10" hidden="1" outlineLevel="1">
      <c r="A209" s="105"/>
      <c r="B209" s="6" t="s">
        <v>266</v>
      </c>
      <c r="C209" s="6" t="s">
        <v>265</v>
      </c>
      <c r="D209" s="15">
        <v>48.6</v>
      </c>
      <c r="E209" s="19">
        <f t="shared" si="53"/>
        <v>9.7200000000000006</v>
      </c>
      <c r="F209" s="16">
        <f t="shared" si="54"/>
        <v>58.32</v>
      </c>
      <c r="G209" s="9">
        <v>10.38</v>
      </c>
      <c r="H209" s="24">
        <f t="shared" si="55"/>
        <v>68.7</v>
      </c>
      <c r="I209" s="23"/>
      <c r="J209" s="19">
        <f t="shared" si="56"/>
        <v>0</v>
      </c>
    </row>
    <row r="210" spans="1:10" hidden="1" outlineLevel="1">
      <c r="A210" s="105"/>
      <c r="B210" s="6" t="s">
        <v>267</v>
      </c>
      <c r="C210" s="6" t="s">
        <v>227</v>
      </c>
      <c r="D210" s="15">
        <v>30.6</v>
      </c>
      <c r="E210" s="15">
        <f t="shared" si="53"/>
        <v>6.120000000000001</v>
      </c>
      <c r="F210" s="16">
        <f t="shared" si="54"/>
        <v>36.72</v>
      </c>
      <c r="G210" s="29">
        <v>10.38</v>
      </c>
      <c r="H210" s="16">
        <f t="shared" si="55"/>
        <v>47.1</v>
      </c>
      <c r="I210" s="23"/>
      <c r="J210" s="15">
        <f t="shared" si="56"/>
        <v>0</v>
      </c>
    </row>
    <row r="211" spans="1:10" hidden="1" outlineLevel="1">
      <c r="A211" s="105"/>
      <c r="B211" s="6" t="s">
        <v>268</v>
      </c>
      <c r="C211" s="6" t="s">
        <v>269</v>
      </c>
      <c r="D211" s="15">
        <v>251.1</v>
      </c>
      <c r="E211" s="19">
        <f t="shared" si="53"/>
        <v>50.22</v>
      </c>
      <c r="F211" s="16">
        <f t="shared" si="54"/>
        <v>301.32</v>
      </c>
      <c r="G211" s="29">
        <v>10.38</v>
      </c>
      <c r="H211" s="24">
        <f t="shared" si="55"/>
        <v>311.7</v>
      </c>
      <c r="I211" s="23"/>
      <c r="J211" s="19">
        <f t="shared" si="56"/>
        <v>0</v>
      </c>
    </row>
    <row r="212" spans="1:10" hidden="1" outlineLevel="1">
      <c r="A212" s="105"/>
      <c r="B212" s="6" t="s">
        <v>270</v>
      </c>
      <c r="C212" s="6" t="s">
        <v>271</v>
      </c>
      <c r="D212" s="15">
        <v>251.1</v>
      </c>
      <c r="E212" s="15">
        <f t="shared" si="53"/>
        <v>50.22</v>
      </c>
      <c r="F212" s="16">
        <f t="shared" si="54"/>
        <v>301.32</v>
      </c>
      <c r="G212" s="29">
        <v>10.38</v>
      </c>
      <c r="H212" s="16">
        <f t="shared" si="55"/>
        <v>311.7</v>
      </c>
      <c r="I212" s="23"/>
      <c r="J212" s="15">
        <f t="shared" si="56"/>
        <v>0</v>
      </c>
    </row>
    <row r="213" spans="1:10" hidden="1" outlineLevel="1">
      <c r="A213" s="105"/>
      <c r="B213" s="40" t="s">
        <v>272</v>
      </c>
      <c r="C213" s="6" t="s">
        <v>273</v>
      </c>
      <c r="D213" s="15">
        <v>56.7</v>
      </c>
      <c r="E213" s="19">
        <f t="shared" si="53"/>
        <v>11.340000000000002</v>
      </c>
      <c r="F213" s="16">
        <f t="shared" si="54"/>
        <v>68.040000000000006</v>
      </c>
      <c r="G213" s="9">
        <v>10.38</v>
      </c>
      <c r="H213" s="24">
        <f t="shared" si="55"/>
        <v>78.42</v>
      </c>
      <c r="I213" s="23"/>
      <c r="J213" s="19">
        <f t="shared" si="56"/>
        <v>0</v>
      </c>
    </row>
    <row r="214" spans="1:10" hidden="1" outlineLevel="1">
      <c r="A214" s="105"/>
      <c r="B214" s="6" t="s">
        <v>274</v>
      </c>
      <c r="C214" s="6" t="s">
        <v>275</v>
      </c>
      <c r="D214" s="15">
        <v>12.3</v>
      </c>
      <c r="E214" s="15">
        <f t="shared" si="53"/>
        <v>2.4600000000000004</v>
      </c>
      <c r="F214" s="16">
        <f t="shared" si="54"/>
        <v>14.760000000000002</v>
      </c>
      <c r="G214" s="29">
        <v>0</v>
      </c>
      <c r="H214" s="16">
        <f t="shared" si="55"/>
        <v>14.760000000000002</v>
      </c>
      <c r="I214" s="23"/>
      <c r="J214" s="15">
        <f t="shared" si="56"/>
        <v>0</v>
      </c>
    </row>
    <row r="215" spans="1:10" hidden="1" outlineLevel="1">
      <c r="A215" s="105"/>
      <c r="B215" s="6" t="s">
        <v>276</v>
      </c>
      <c r="C215" s="6" t="s">
        <v>277</v>
      </c>
      <c r="D215" s="15">
        <v>51.54</v>
      </c>
      <c r="E215" s="15"/>
      <c r="F215" s="19">
        <f t="shared" ref="F215:F222" si="57">D215*20%</f>
        <v>10.308</v>
      </c>
      <c r="G215" s="16">
        <f t="shared" ref="G215:G222" si="58">F215+D215</f>
        <v>61.847999999999999</v>
      </c>
      <c r="H215" s="5"/>
      <c r="I215" s="23"/>
      <c r="J215" s="19">
        <f t="shared" ref="J215:J222" si="59">SUM(I215*G215,H215*I215)</f>
        <v>0</v>
      </c>
    </row>
    <row r="216" spans="1:10" hidden="1" outlineLevel="1">
      <c r="A216" s="105"/>
      <c r="B216" s="6" t="s">
        <v>278</v>
      </c>
      <c r="C216" s="6" t="s">
        <v>279</v>
      </c>
      <c r="D216" s="15">
        <v>24.54</v>
      </c>
      <c r="E216" s="15"/>
      <c r="F216" s="15">
        <f t="shared" si="57"/>
        <v>4.9080000000000004</v>
      </c>
      <c r="G216" s="16">
        <f t="shared" si="58"/>
        <v>29.448</v>
      </c>
      <c r="H216" s="5"/>
      <c r="I216" s="23"/>
      <c r="J216" s="15">
        <f t="shared" si="59"/>
        <v>0</v>
      </c>
    </row>
    <row r="217" spans="1:10" hidden="1" outlineLevel="1">
      <c r="A217" s="105"/>
      <c r="B217" s="6" t="s">
        <v>228</v>
      </c>
      <c r="C217" s="6" t="s">
        <v>229</v>
      </c>
      <c r="D217" s="15">
        <v>48.6</v>
      </c>
      <c r="E217" s="15"/>
      <c r="F217" s="19">
        <f t="shared" si="57"/>
        <v>9.7200000000000006</v>
      </c>
      <c r="G217" s="16">
        <f t="shared" si="58"/>
        <v>58.32</v>
      </c>
      <c r="H217" s="5"/>
      <c r="I217" s="23"/>
      <c r="J217" s="19">
        <f t="shared" si="59"/>
        <v>0</v>
      </c>
    </row>
    <row r="218" spans="1:10" hidden="1" outlineLevel="1">
      <c r="A218" s="105"/>
      <c r="B218" s="6" t="s">
        <v>280</v>
      </c>
      <c r="C218" s="6" t="s">
        <v>281</v>
      </c>
      <c r="D218" s="15">
        <v>92.04</v>
      </c>
      <c r="E218" s="15"/>
      <c r="F218" s="19">
        <f t="shared" si="57"/>
        <v>18.408000000000001</v>
      </c>
      <c r="G218" s="16">
        <f t="shared" si="58"/>
        <v>110.44800000000001</v>
      </c>
      <c r="H218" s="5"/>
      <c r="I218" s="23"/>
      <c r="J218" s="19">
        <f t="shared" si="59"/>
        <v>0</v>
      </c>
    </row>
    <row r="219" spans="1:10" hidden="1" outlineLevel="1">
      <c r="A219" s="105"/>
      <c r="B219" s="6" t="s">
        <v>282</v>
      </c>
      <c r="C219" s="6" t="s">
        <v>283</v>
      </c>
      <c r="D219" s="15">
        <v>81</v>
      </c>
      <c r="E219" s="15"/>
      <c r="F219" s="15">
        <f t="shared" si="57"/>
        <v>16.2</v>
      </c>
      <c r="G219" s="16">
        <f t="shared" si="58"/>
        <v>97.2</v>
      </c>
      <c r="H219" s="5"/>
      <c r="I219" s="23"/>
      <c r="J219" s="15">
        <f t="shared" si="59"/>
        <v>0</v>
      </c>
    </row>
    <row r="220" spans="1:10" hidden="1" outlineLevel="1">
      <c r="A220" s="105"/>
      <c r="B220" s="6" t="s">
        <v>268</v>
      </c>
      <c r="C220" s="6" t="s">
        <v>284</v>
      </c>
      <c r="D220" s="15">
        <v>251.1</v>
      </c>
      <c r="E220" s="15"/>
      <c r="F220" s="19">
        <f t="shared" si="57"/>
        <v>50.22</v>
      </c>
      <c r="G220" s="16">
        <f t="shared" si="58"/>
        <v>301.32</v>
      </c>
      <c r="H220" s="5"/>
      <c r="I220" s="23"/>
      <c r="J220" s="19">
        <f t="shared" si="59"/>
        <v>0</v>
      </c>
    </row>
    <row r="221" spans="1:10" hidden="1" outlineLevel="1">
      <c r="A221" s="105"/>
      <c r="B221" s="6" t="s">
        <v>285</v>
      </c>
      <c r="C221" s="6" t="s">
        <v>286</v>
      </c>
      <c r="D221" s="15">
        <v>71.099999999999994</v>
      </c>
      <c r="E221" s="15"/>
      <c r="F221" s="15">
        <f t="shared" si="57"/>
        <v>14.219999999999999</v>
      </c>
      <c r="G221" s="16">
        <f t="shared" si="58"/>
        <v>85.32</v>
      </c>
      <c r="H221" s="5"/>
      <c r="I221" s="23"/>
      <c r="J221" s="15">
        <f t="shared" si="59"/>
        <v>0</v>
      </c>
    </row>
    <row r="222" spans="1:10" hidden="1" outlineLevel="1">
      <c r="A222" s="105"/>
      <c r="B222" s="6" t="s">
        <v>287</v>
      </c>
      <c r="C222" s="6" t="s">
        <v>288</v>
      </c>
      <c r="D222" s="15">
        <v>80.099999999999994</v>
      </c>
      <c r="E222" s="15"/>
      <c r="F222" s="19">
        <f t="shared" si="57"/>
        <v>16.02</v>
      </c>
      <c r="G222" s="16">
        <f t="shared" si="58"/>
        <v>96.11999999999999</v>
      </c>
      <c r="H222" s="5"/>
      <c r="I222" s="23"/>
      <c r="J222" s="19">
        <f t="shared" si="59"/>
        <v>0</v>
      </c>
    </row>
    <row r="223" spans="1:10" hidden="1" collapsed="1">
      <c r="A223" s="105"/>
      <c r="B223" s="162" t="s">
        <v>4467</v>
      </c>
      <c r="C223" s="163"/>
      <c r="D223" s="163"/>
      <c r="E223" s="163"/>
      <c r="F223" s="163"/>
      <c r="G223" s="163"/>
      <c r="H223" s="163"/>
      <c r="I223" s="164"/>
      <c r="J223" s="33">
        <f>SUM(J188:J222)</f>
        <v>0</v>
      </c>
    </row>
    <row r="224" spans="1:10">
      <c r="A224" s="105"/>
      <c r="B224" s="168" t="s">
        <v>4469</v>
      </c>
      <c r="C224" s="169"/>
      <c r="D224" s="169"/>
      <c r="E224" s="169"/>
      <c r="F224" s="169"/>
      <c r="G224" s="169"/>
      <c r="H224" s="169"/>
      <c r="I224" s="169"/>
      <c r="J224" s="170"/>
    </row>
    <row r="225" spans="1:10" outlineLevel="1">
      <c r="A225" s="105"/>
      <c r="B225" s="97" t="s">
        <v>20</v>
      </c>
      <c r="C225" s="97" t="s">
        <v>21</v>
      </c>
      <c r="D225" s="97" t="s">
        <v>162</v>
      </c>
      <c r="E225" s="98"/>
      <c r="F225" s="99"/>
      <c r="G225" s="99"/>
      <c r="H225" s="99"/>
      <c r="I225" s="100" t="s">
        <v>24</v>
      </c>
      <c r="J225" s="97" t="s">
        <v>25</v>
      </c>
    </row>
    <row r="226" spans="1:10" hidden="1" outlineLevel="1">
      <c r="A226" s="105"/>
      <c r="B226" s="171" t="s">
        <v>289</v>
      </c>
      <c r="C226" s="172"/>
      <c r="D226" s="172"/>
      <c r="E226" s="172"/>
      <c r="F226" s="172"/>
      <c r="G226" s="172"/>
      <c r="H226" s="172"/>
      <c r="I226" s="172"/>
      <c r="J226" s="173"/>
    </row>
    <row r="227" spans="1:10" hidden="1" outlineLevel="1">
      <c r="A227" s="105"/>
      <c r="B227" s="6" t="s">
        <v>290</v>
      </c>
      <c r="C227" s="6" t="s">
        <v>291</v>
      </c>
      <c r="D227" s="15">
        <v>817.46</v>
      </c>
      <c r="E227" s="15"/>
      <c r="F227" s="15">
        <f t="shared" ref="F227:F251" si="60">D227*20%</f>
        <v>163.49200000000002</v>
      </c>
      <c r="G227" s="16">
        <f t="shared" ref="G227:G251" si="61">F227+D227</f>
        <v>980.952</v>
      </c>
      <c r="H227" s="29">
        <v>31.27</v>
      </c>
      <c r="I227" s="17"/>
      <c r="J227" s="15">
        <f t="shared" ref="J227:J251" si="62">SUM(I227*G227,H227*I227)</f>
        <v>0</v>
      </c>
    </row>
    <row r="228" spans="1:10" hidden="1" outlineLevel="1">
      <c r="A228" s="105"/>
      <c r="B228" s="6" t="s">
        <v>292</v>
      </c>
      <c r="C228" s="6" t="s">
        <v>293</v>
      </c>
      <c r="D228" s="15">
        <v>817.46</v>
      </c>
      <c r="E228" s="15"/>
      <c r="F228" s="19">
        <f t="shared" si="60"/>
        <v>163.49200000000002</v>
      </c>
      <c r="G228" s="16">
        <f t="shared" si="61"/>
        <v>980.952</v>
      </c>
      <c r="H228" s="29">
        <v>31.27</v>
      </c>
      <c r="I228" s="17"/>
      <c r="J228" s="19">
        <f t="shared" si="62"/>
        <v>0</v>
      </c>
    </row>
    <row r="229" spans="1:10" hidden="1" outlineLevel="1">
      <c r="A229" s="105"/>
      <c r="B229" s="6" t="s">
        <v>294</v>
      </c>
      <c r="C229" s="6" t="s">
        <v>295</v>
      </c>
      <c r="D229" s="15">
        <v>584.86</v>
      </c>
      <c r="E229" s="15"/>
      <c r="F229" s="15">
        <f t="shared" si="60"/>
        <v>116.97200000000001</v>
      </c>
      <c r="G229" s="16">
        <f t="shared" si="61"/>
        <v>701.83199999999999</v>
      </c>
      <c r="H229" s="5"/>
      <c r="I229" s="17"/>
      <c r="J229" s="15">
        <f t="shared" si="62"/>
        <v>0</v>
      </c>
    </row>
    <row r="230" spans="1:10" hidden="1" outlineLevel="1">
      <c r="A230" s="105"/>
      <c r="B230" s="6" t="s">
        <v>296</v>
      </c>
      <c r="C230" s="6" t="s">
        <v>297</v>
      </c>
      <c r="D230" s="15">
        <v>584.86</v>
      </c>
      <c r="E230" s="15"/>
      <c r="F230" s="19">
        <f t="shared" si="60"/>
        <v>116.97200000000001</v>
      </c>
      <c r="G230" s="16">
        <f t="shared" si="61"/>
        <v>701.83199999999999</v>
      </c>
      <c r="H230" s="5"/>
      <c r="I230" s="17"/>
      <c r="J230" s="19">
        <f t="shared" si="62"/>
        <v>0</v>
      </c>
    </row>
    <row r="231" spans="1:10" hidden="1" outlineLevel="1">
      <c r="A231" s="105"/>
      <c r="B231" s="6" t="s">
        <v>298</v>
      </c>
      <c r="C231" s="6" t="s">
        <v>299</v>
      </c>
      <c r="D231" s="15">
        <v>212.69</v>
      </c>
      <c r="E231" s="15"/>
      <c r="F231" s="15">
        <f t="shared" si="60"/>
        <v>42.538000000000004</v>
      </c>
      <c r="G231" s="16">
        <f t="shared" si="61"/>
        <v>255.22800000000001</v>
      </c>
      <c r="H231" s="5"/>
      <c r="I231" s="17"/>
      <c r="J231" s="15">
        <f t="shared" si="62"/>
        <v>0</v>
      </c>
    </row>
    <row r="232" spans="1:10" hidden="1" outlineLevel="1">
      <c r="A232" s="105"/>
      <c r="B232" s="6" t="s">
        <v>300</v>
      </c>
      <c r="C232" s="6" t="s">
        <v>301</v>
      </c>
      <c r="D232" s="15">
        <v>295.85000000000002</v>
      </c>
      <c r="E232" s="15"/>
      <c r="F232" s="19">
        <f t="shared" si="60"/>
        <v>59.170000000000009</v>
      </c>
      <c r="G232" s="16">
        <f t="shared" si="61"/>
        <v>355.02000000000004</v>
      </c>
      <c r="H232" s="5"/>
      <c r="I232" s="17"/>
      <c r="J232" s="19">
        <f t="shared" si="62"/>
        <v>0</v>
      </c>
    </row>
    <row r="233" spans="1:10" hidden="1" outlineLevel="1">
      <c r="A233" s="105"/>
      <c r="B233" s="6" t="s">
        <v>302</v>
      </c>
      <c r="C233" s="6" t="s">
        <v>303</v>
      </c>
      <c r="D233" s="15">
        <v>35.5</v>
      </c>
      <c r="E233" s="15"/>
      <c r="F233" s="15">
        <f t="shared" si="60"/>
        <v>7.1000000000000005</v>
      </c>
      <c r="G233" s="16">
        <f t="shared" si="61"/>
        <v>42.6</v>
      </c>
      <c r="H233" s="5"/>
      <c r="I233" s="17"/>
      <c r="J233" s="15">
        <f t="shared" si="62"/>
        <v>0</v>
      </c>
    </row>
    <row r="234" spans="1:10" hidden="1" outlineLevel="1">
      <c r="A234" s="105"/>
      <c r="B234" s="6" t="s">
        <v>304</v>
      </c>
      <c r="C234" s="6" t="s">
        <v>305</v>
      </c>
      <c r="D234" s="15">
        <v>65.150000000000006</v>
      </c>
      <c r="E234" s="15"/>
      <c r="F234" s="15">
        <f t="shared" si="60"/>
        <v>13.030000000000001</v>
      </c>
      <c r="G234" s="16">
        <f t="shared" si="61"/>
        <v>78.180000000000007</v>
      </c>
      <c r="H234" s="5"/>
      <c r="I234" s="17"/>
      <c r="J234" s="15">
        <f t="shared" si="62"/>
        <v>0</v>
      </c>
    </row>
    <row r="235" spans="1:10" hidden="1" outlineLevel="1">
      <c r="A235" s="105"/>
      <c r="B235" s="6" t="s">
        <v>306</v>
      </c>
      <c r="C235" s="6" t="s">
        <v>307</v>
      </c>
      <c r="D235" s="15">
        <v>34.29</v>
      </c>
      <c r="E235" s="15"/>
      <c r="F235" s="19">
        <f t="shared" si="60"/>
        <v>6.8580000000000005</v>
      </c>
      <c r="G235" s="16">
        <f t="shared" si="61"/>
        <v>41.147999999999996</v>
      </c>
      <c r="H235" s="5"/>
      <c r="I235" s="17"/>
      <c r="J235" s="19">
        <f t="shared" si="62"/>
        <v>0</v>
      </c>
    </row>
    <row r="236" spans="1:10" hidden="1" outlineLevel="1">
      <c r="A236" s="105"/>
      <c r="B236" s="6" t="s">
        <v>308</v>
      </c>
      <c r="C236" s="39" t="s">
        <v>309</v>
      </c>
      <c r="D236" s="15">
        <v>38</v>
      </c>
      <c r="E236" s="15"/>
      <c r="F236" s="15">
        <f t="shared" si="60"/>
        <v>7.6000000000000005</v>
      </c>
      <c r="G236" s="16">
        <f t="shared" si="61"/>
        <v>45.6</v>
      </c>
      <c r="H236" s="5"/>
      <c r="I236" s="17"/>
      <c r="J236" s="15">
        <f t="shared" si="62"/>
        <v>0</v>
      </c>
    </row>
    <row r="237" spans="1:10" hidden="1" outlineLevel="1">
      <c r="A237" s="105"/>
      <c r="B237" s="6" t="s">
        <v>310</v>
      </c>
      <c r="C237" s="39" t="s">
        <v>311</v>
      </c>
      <c r="D237" s="15">
        <v>38</v>
      </c>
      <c r="E237" s="15"/>
      <c r="F237" s="19">
        <f t="shared" si="60"/>
        <v>7.6000000000000005</v>
      </c>
      <c r="G237" s="16">
        <f t="shared" si="61"/>
        <v>45.6</v>
      </c>
      <c r="H237" s="5"/>
      <c r="I237" s="17"/>
      <c r="J237" s="19">
        <f t="shared" si="62"/>
        <v>0</v>
      </c>
    </row>
    <row r="238" spans="1:10" hidden="1" outlineLevel="1">
      <c r="A238" s="105"/>
      <c r="B238" s="6" t="s">
        <v>312</v>
      </c>
      <c r="C238" s="39" t="s">
        <v>313</v>
      </c>
      <c r="D238" s="15">
        <v>38</v>
      </c>
      <c r="E238" s="15"/>
      <c r="F238" s="15">
        <f t="shared" si="60"/>
        <v>7.6000000000000005</v>
      </c>
      <c r="G238" s="16">
        <f t="shared" si="61"/>
        <v>45.6</v>
      </c>
      <c r="H238" s="5"/>
      <c r="I238" s="17"/>
      <c r="J238" s="15">
        <f t="shared" si="62"/>
        <v>0</v>
      </c>
    </row>
    <row r="239" spans="1:10" hidden="1" outlineLevel="1">
      <c r="A239" s="105"/>
      <c r="B239" s="6" t="s">
        <v>314</v>
      </c>
      <c r="C239" s="39" t="s">
        <v>315</v>
      </c>
      <c r="D239" s="15">
        <v>13.12</v>
      </c>
      <c r="E239" s="15"/>
      <c r="F239" s="19">
        <f t="shared" si="60"/>
        <v>2.6240000000000001</v>
      </c>
      <c r="G239" s="16">
        <f t="shared" si="61"/>
        <v>15.744</v>
      </c>
      <c r="H239" s="5"/>
      <c r="I239" s="17"/>
      <c r="J239" s="19">
        <f t="shared" si="62"/>
        <v>0</v>
      </c>
    </row>
    <row r="240" spans="1:10" hidden="1" outlineLevel="1">
      <c r="A240" s="105"/>
      <c r="B240" s="6" t="s">
        <v>316</v>
      </c>
      <c r="C240" s="39" t="s">
        <v>317</v>
      </c>
      <c r="D240" s="15">
        <v>13.12</v>
      </c>
      <c r="E240" s="15"/>
      <c r="F240" s="15">
        <f t="shared" si="60"/>
        <v>2.6240000000000001</v>
      </c>
      <c r="G240" s="16">
        <f t="shared" si="61"/>
        <v>15.744</v>
      </c>
      <c r="H240" s="5"/>
      <c r="I240" s="17"/>
      <c r="J240" s="15">
        <f t="shared" si="62"/>
        <v>0</v>
      </c>
    </row>
    <row r="241" spans="1:10" hidden="1" outlineLevel="1">
      <c r="A241" s="105"/>
      <c r="B241" s="6" t="s">
        <v>318</v>
      </c>
      <c r="C241" s="39" t="s">
        <v>319</v>
      </c>
      <c r="D241" s="15">
        <v>38</v>
      </c>
      <c r="E241" s="15"/>
      <c r="F241" s="19">
        <f t="shared" si="60"/>
        <v>7.6000000000000005</v>
      </c>
      <c r="G241" s="16">
        <f t="shared" si="61"/>
        <v>45.6</v>
      </c>
      <c r="H241" s="5"/>
      <c r="I241" s="17"/>
      <c r="J241" s="19">
        <f t="shared" si="62"/>
        <v>0</v>
      </c>
    </row>
    <row r="242" spans="1:10" hidden="1" outlineLevel="1">
      <c r="A242" s="105"/>
      <c r="B242" s="6" t="s">
        <v>320</v>
      </c>
      <c r="C242" s="39" t="s">
        <v>321</v>
      </c>
      <c r="D242" s="15">
        <v>13.12</v>
      </c>
      <c r="E242" s="15"/>
      <c r="F242" s="15">
        <f t="shared" si="60"/>
        <v>2.6240000000000001</v>
      </c>
      <c r="G242" s="16">
        <f t="shared" si="61"/>
        <v>15.744</v>
      </c>
      <c r="H242" s="5"/>
      <c r="I242" s="17"/>
      <c r="J242" s="15">
        <f t="shared" si="62"/>
        <v>0</v>
      </c>
    </row>
    <row r="243" spans="1:10" hidden="1" outlineLevel="1">
      <c r="A243" s="105"/>
      <c r="B243" s="5"/>
      <c r="C243" s="5"/>
      <c r="D243" s="15">
        <v>0</v>
      </c>
      <c r="E243" s="15"/>
      <c r="F243" s="19">
        <f t="shared" si="60"/>
        <v>0</v>
      </c>
      <c r="G243" s="16">
        <f t="shared" si="61"/>
        <v>0</v>
      </c>
      <c r="H243" s="5"/>
      <c r="I243" s="17"/>
      <c r="J243" s="19">
        <f t="shared" si="62"/>
        <v>0</v>
      </c>
    </row>
    <row r="244" spans="1:10" hidden="1" outlineLevel="1">
      <c r="A244" s="105"/>
      <c r="B244" s="29">
        <v>206121</v>
      </c>
      <c r="C244" s="6" t="s">
        <v>322</v>
      </c>
      <c r="D244" s="15">
        <v>83.36</v>
      </c>
      <c r="E244" s="15"/>
      <c r="F244" s="15">
        <f t="shared" si="60"/>
        <v>16.672000000000001</v>
      </c>
      <c r="G244" s="16">
        <f t="shared" si="61"/>
        <v>100.032</v>
      </c>
      <c r="H244" s="5"/>
      <c r="I244" s="17"/>
      <c r="J244" s="15">
        <f t="shared" si="62"/>
        <v>0</v>
      </c>
    </row>
    <row r="245" spans="1:10" hidden="1" outlineLevel="1">
      <c r="A245" s="105"/>
      <c r="B245" s="29">
        <v>206122</v>
      </c>
      <c r="C245" s="6" t="s">
        <v>323</v>
      </c>
      <c r="D245" s="15">
        <v>110.57</v>
      </c>
      <c r="E245" s="15"/>
      <c r="F245" s="19">
        <f t="shared" si="60"/>
        <v>22.114000000000001</v>
      </c>
      <c r="G245" s="16">
        <f t="shared" si="61"/>
        <v>132.684</v>
      </c>
      <c r="H245" s="5"/>
      <c r="I245" s="17"/>
      <c r="J245" s="19">
        <f t="shared" si="62"/>
        <v>0</v>
      </c>
    </row>
    <row r="246" spans="1:10" hidden="1" outlineLevel="1">
      <c r="A246" s="105"/>
      <c r="B246" s="6" t="s">
        <v>324</v>
      </c>
      <c r="C246" s="6" t="s">
        <v>325</v>
      </c>
      <c r="D246" s="15">
        <v>65.31</v>
      </c>
      <c r="E246" s="15"/>
      <c r="F246" s="15">
        <f t="shared" si="60"/>
        <v>13.062000000000001</v>
      </c>
      <c r="G246" s="16">
        <f t="shared" si="61"/>
        <v>78.372</v>
      </c>
      <c r="H246" s="5"/>
      <c r="I246" s="17"/>
      <c r="J246" s="15">
        <f t="shared" si="62"/>
        <v>0</v>
      </c>
    </row>
    <row r="247" spans="1:10" hidden="1" outlineLevel="1">
      <c r="A247" s="105"/>
      <c r="B247" s="6" t="s">
        <v>326</v>
      </c>
      <c r="C247" s="6" t="s">
        <v>327</v>
      </c>
      <c r="D247" s="15">
        <v>65.31</v>
      </c>
      <c r="E247" s="15"/>
      <c r="F247" s="19">
        <f t="shared" si="60"/>
        <v>13.062000000000001</v>
      </c>
      <c r="G247" s="16">
        <f t="shared" si="61"/>
        <v>78.372</v>
      </c>
      <c r="H247" s="5"/>
      <c r="I247" s="17"/>
      <c r="J247" s="19">
        <f t="shared" si="62"/>
        <v>0</v>
      </c>
    </row>
    <row r="248" spans="1:10" hidden="1" outlineLevel="1">
      <c r="A248" s="105"/>
      <c r="B248" s="6" t="s">
        <v>328</v>
      </c>
      <c r="C248" s="6" t="s">
        <v>329</v>
      </c>
      <c r="D248" s="15">
        <v>209.78</v>
      </c>
      <c r="E248" s="15"/>
      <c r="F248" s="15">
        <f t="shared" si="60"/>
        <v>41.956000000000003</v>
      </c>
      <c r="G248" s="16">
        <f t="shared" si="61"/>
        <v>251.73599999999999</v>
      </c>
      <c r="H248" s="5"/>
      <c r="I248" s="17"/>
      <c r="J248" s="15">
        <f t="shared" si="62"/>
        <v>0</v>
      </c>
    </row>
    <row r="249" spans="1:10" hidden="1" outlineLevel="1">
      <c r="A249" s="105"/>
      <c r="B249" s="6" t="s">
        <v>330</v>
      </c>
      <c r="C249" s="6" t="s">
        <v>331</v>
      </c>
      <c r="D249" s="15">
        <v>109.29</v>
      </c>
      <c r="E249" s="15"/>
      <c r="F249" s="19">
        <f t="shared" si="60"/>
        <v>21.858000000000004</v>
      </c>
      <c r="G249" s="16">
        <f t="shared" si="61"/>
        <v>131.14800000000002</v>
      </c>
      <c r="H249" s="5"/>
      <c r="I249" s="17"/>
      <c r="J249" s="19">
        <f t="shared" si="62"/>
        <v>0</v>
      </c>
    </row>
    <row r="250" spans="1:10" hidden="1" outlineLevel="1">
      <c r="A250" s="105"/>
      <c r="B250" s="6" t="s">
        <v>332</v>
      </c>
      <c r="C250" s="6" t="s">
        <v>333</v>
      </c>
      <c r="D250" s="15">
        <v>153.66</v>
      </c>
      <c r="E250" s="15"/>
      <c r="F250" s="15">
        <f t="shared" si="60"/>
        <v>30.731999999999999</v>
      </c>
      <c r="G250" s="16">
        <f t="shared" si="61"/>
        <v>184.392</v>
      </c>
      <c r="H250" s="5"/>
      <c r="I250" s="17"/>
      <c r="J250" s="15">
        <f t="shared" si="62"/>
        <v>0</v>
      </c>
    </row>
    <row r="251" spans="1:10" hidden="1" outlineLevel="1">
      <c r="A251" s="105"/>
      <c r="B251" s="5"/>
      <c r="C251" s="5"/>
      <c r="D251" s="15">
        <v>0</v>
      </c>
      <c r="E251" s="15"/>
      <c r="F251" s="19">
        <f t="shared" si="60"/>
        <v>0</v>
      </c>
      <c r="G251" s="16">
        <f t="shared" si="61"/>
        <v>0</v>
      </c>
      <c r="H251" s="5"/>
      <c r="I251" s="17"/>
      <c r="J251" s="19">
        <f t="shared" si="62"/>
        <v>0</v>
      </c>
    </row>
    <row r="252" spans="1:10" outlineLevel="1">
      <c r="A252" s="105"/>
      <c r="B252" s="26" t="s">
        <v>334</v>
      </c>
      <c r="C252" s="28"/>
      <c r="D252" s="27"/>
      <c r="E252" s="27"/>
      <c r="F252" s="28"/>
      <c r="G252" s="28"/>
      <c r="H252" s="28"/>
      <c r="I252" s="28"/>
      <c r="J252" s="28"/>
    </row>
    <row r="253" spans="1:10" outlineLevel="1">
      <c r="A253" s="105"/>
      <c r="B253" s="6" t="s">
        <v>335</v>
      </c>
      <c r="C253" s="6" t="s">
        <v>336</v>
      </c>
      <c r="D253" s="15">
        <v>151.47</v>
      </c>
      <c r="E253" s="15"/>
      <c r="F253" s="15">
        <f t="shared" ref="F253:F259" si="63">D253*20%</f>
        <v>30.294</v>
      </c>
      <c r="G253" s="16">
        <f t="shared" ref="G253:G259" si="64">F253+D253</f>
        <v>181.76400000000001</v>
      </c>
      <c r="H253" s="5"/>
      <c r="I253" s="17">
        <v>1</v>
      </c>
      <c r="J253" s="15">
        <f t="shared" ref="J253:J259" si="65">SUM(I253*G253,H253*I253)</f>
        <v>181.76400000000001</v>
      </c>
    </row>
    <row r="254" spans="1:10" hidden="1" outlineLevel="1">
      <c r="A254" s="105"/>
      <c r="B254" s="6" t="s">
        <v>337</v>
      </c>
      <c r="C254" s="6" t="s">
        <v>338</v>
      </c>
      <c r="D254" s="15">
        <v>172.63</v>
      </c>
      <c r="E254" s="15"/>
      <c r="F254" s="19">
        <f t="shared" si="63"/>
        <v>34.526000000000003</v>
      </c>
      <c r="G254" s="16">
        <f t="shared" si="64"/>
        <v>207.15600000000001</v>
      </c>
      <c r="H254" s="5"/>
      <c r="I254" s="17"/>
      <c r="J254" s="19">
        <f t="shared" si="65"/>
        <v>0</v>
      </c>
    </row>
    <row r="255" spans="1:10" hidden="1" outlineLevel="1">
      <c r="A255" s="105"/>
      <c r="B255" s="6" t="s">
        <v>339</v>
      </c>
      <c r="C255" s="6" t="s">
        <v>340</v>
      </c>
      <c r="D255" s="15">
        <v>27.14</v>
      </c>
      <c r="E255" s="15"/>
      <c r="F255" s="15">
        <f t="shared" si="63"/>
        <v>5.4280000000000008</v>
      </c>
      <c r="G255" s="16">
        <f t="shared" si="64"/>
        <v>32.567999999999998</v>
      </c>
      <c r="H255" s="5"/>
      <c r="I255" s="17"/>
      <c r="J255" s="15">
        <f t="shared" si="65"/>
        <v>0</v>
      </c>
    </row>
    <row r="256" spans="1:10" hidden="1" outlineLevel="1">
      <c r="A256" s="105"/>
      <c r="B256" s="6" t="s">
        <v>341</v>
      </c>
      <c r="C256" s="6" t="s">
        <v>342</v>
      </c>
      <c r="D256" s="15">
        <v>0</v>
      </c>
      <c r="E256" s="15"/>
      <c r="F256" s="19">
        <f t="shared" si="63"/>
        <v>0</v>
      </c>
      <c r="G256" s="16">
        <f t="shared" si="64"/>
        <v>0</v>
      </c>
      <c r="H256" s="5"/>
      <c r="I256" s="17"/>
      <c r="J256" s="19">
        <f t="shared" si="65"/>
        <v>0</v>
      </c>
    </row>
    <row r="257" spans="1:10" hidden="1" outlineLevel="1">
      <c r="A257" s="105"/>
      <c r="B257" s="5"/>
      <c r="C257" s="5"/>
      <c r="D257" s="15">
        <v>0</v>
      </c>
      <c r="E257" s="15"/>
      <c r="F257" s="15">
        <f t="shared" si="63"/>
        <v>0</v>
      </c>
      <c r="G257" s="16">
        <f t="shared" si="64"/>
        <v>0</v>
      </c>
      <c r="H257" s="5"/>
      <c r="I257" s="17"/>
      <c r="J257" s="15">
        <f t="shared" si="65"/>
        <v>0</v>
      </c>
    </row>
    <row r="258" spans="1:10" hidden="1" outlineLevel="1">
      <c r="A258" s="105"/>
      <c r="B258" s="5"/>
      <c r="C258" s="5"/>
      <c r="D258" s="15">
        <v>0</v>
      </c>
      <c r="E258" s="15"/>
      <c r="F258" s="19">
        <f t="shared" si="63"/>
        <v>0</v>
      </c>
      <c r="G258" s="16">
        <f t="shared" si="64"/>
        <v>0</v>
      </c>
      <c r="H258" s="5"/>
      <c r="I258" s="17"/>
      <c r="J258" s="19">
        <f t="shared" si="65"/>
        <v>0</v>
      </c>
    </row>
    <row r="259" spans="1:10" hidden="1" outlineLevel="1">
      <c r="A259" s="105"/>
      <c r="B259" s="5"/>
      <c r="C259" s="5"/>
      <c r="D259" s="15">
        <v>0</v>
      </c>
      <c r="E259" s="15"/>
      <c r="F259" s="15">
        <f t="shared" si="63"/>
        <v>0</v>
      </c>
      <c r="G259" s="16">
        <f t="shared" si="64"/>
        <v>0</v>
      </c>
      <c r="H259" s="5"/>
      <c r="I259" s="17"/>
      <c r="J259" s="15">
        <f t="shared" si="65"/>
        <v>0</v>
      </c>
    </row>
    <row r="260" spans="1:10" hidden="1" outlineLevel="1">
      <c r="A260" s="105"/>
      <c r="B260" s="26" t="s">
        <v>343</v>
      </c>
      <c r="C260" s="28"/>
      <c r="D260" s="27"/>
      <c r="E260" s="27"/>
      <c r="F260" s="28"/>
      <c r="G260" s="28"/>
      <c r="H260" s="28"/>
      <c r="I260" s="17"/>
      <c r="J260" s="28"/>
    </row>
    <row r="261" spans="1:10" hidden="1" outlineLevel="1">
      <c r="A261" s="105"/>
      <c r="B261" s="6" t="s">
        <v>344</v>
      </c>
      <c r="C261" s="6" t="s">
        <v>345</v>
      </c>
      <c r="D261" s="15">
        <v>200.91</v>
      </c>
      <c r="E261" s="15"/>
      <c r="F261" s="19">
        <f>D261*20%</f>
        <v>40.182000000000002</v>
      </c>
      <c r="G261" s="16">
        <f t="shared" ref="G261:G304" si="66">F261+D261</f>
        <v>241.09199999999998</v>
      </c>
      <c r="H261" s="5"/>
      <c r="I261" s="17"/>
      <c r="J261" s="19">
        <f>SUM(I261*G261,H261*I261)</f>
        <v>0</v>
      </c>
    </row>
    <row r="262" spans="1:10" hidden="1" outlineLevel="1">
      <c r="A262" s="105"/>
      <c r="B262" s="6" t="s">
        <v>346</v>
      </c>
      <c r="C262" s="6" t="s">
        <v>347</v>
      </c>
      <c r="D262" s="15">
        <v>736.5</v>
      </c>
      <c r="E262" s="15"/>
      <c r="F262" s="15">
        <f>D262*20%</f>
        <v>147.30000000000001</v>
      </c>
      <c r="G262" s="16">
        <f t="shared" si="66"/>
        <v>883.8</v>
      </c>
      <c r="H262" s="5"/>
      <c r="I262" s="17"/>
      <c r="J262" s="15">
        <f>SUM(I262*G262,H262*I262)</f>
        <v>0</v>
      </c>
    </row>
    <row r="263" spans="1:10" hidden="1" outlineLevel="1">
      <c r="A263" s="105"/>
      <c r="B263" s="6" t="s">
        <v>348</v>
      </c>
      <c r="C263" s="6" t="s">
        <v>349</v>
      </c>
      <c r="D263" s="15">
        <v>61.69</v>
      </c>
      <c r="E263" s="15"/>
      <c r="F263" s="19">
        <f>D263*20%</f>
        <v>12.338000000000001</v>
      </c>
      <c r="G263" s="16">
        <f t="shared" si="66"/>
        <v>74.027999999999992</v>
      </c>
      <c r="H263" s="5"/>
      <c r="I263" s="17"/>
      <c r="J263" s="19">
        <f>SUM(I263*G263,H263*I263)</f>
        <v>0</v>
      </c>
    </row>
    <row r="264" spans="1:10" hidden="1" outlineLevel="1">
      <c r="A264" s="105"/>
      <c r="B264" s="6" t="s">
        <v>350</v>
      </c>
      <c r="C264" s="6" t="s">
        <v>351</v>
      </c>
      <c r="D264" s="15">
        <v>625.74</v>
      </c>
      <c r="E264" s="15"/>
      <c r="F264" s="15">
        <f>D264*20%</f>
        <v>125.14800000000001</v>
      </c>
      <c r="G264" s="16">
        <f t="shared" si="66"/>
        <v>750.88800000000003</v>
      </c>
      <c r="H264" s="5"/>
      <c r="I264" s="17"/>
      <c r="J264" s="15">
        <f>SUM(I264*G264,H264*I264)</f>
        <v>0</v>
      </c>
    </row>
    <row r="265" spans="1:10" hidden="1" outlineLevel="1">
      <c r="A265" s="105"/>
      <c r="B265" s="26" t="s">
        <v>352</v>
      </c>
      <c r="C265" s="41"/>
      <c r="D265" s="42"/>
      <c r="E265" s="42"/>
      <c r="F265" s="41"/>
      <c r="G265" s="43">
        <f t="shared" si="66"/>
        <v>0</v>
      </c>
      <c r="H265" s="41"/>
      <c r="I265" s="17"/>
      <c r="J265" s="42"/>
    </row>
    <row r="266" spans="1:10" hidden="1" outlineLevel="1">
      <c r="A266" s="105"/>
      <c r="B266" s="5"/>
      <c r="C266" s="5"/>
      <c r="D266" s="15">
        <v>0</v>
      </c>
      <c r="E266" s="15"/>
      <c r="F266" s="15">
        <f t="shared" ref="F266:F273" si="67">D266*20%</f>
        <v>0</v>
      </c>
      <c r="G266" s="16">
        <f t="shared" si="66"/>
        <v>0</v>
      </c>
      <c r="H266" s="5"/>
      <c r="I266" s="17"/>
      <c r="J266" s="15">
        <f t="shared" ref="J266:J273" si="68">SUM(I266*G266,H266*I266)</f>
        <v>0</v>
      </c>
    </row>
    <row r="267" spans="1:10" hidden="1" outlineLevel="1">
      <c r="A267" s="105"/>
      <c r="B267" s="6" t="s">
        <v>353</v>
      </c>
      <c r="C267" s="6" t="s">
        <v>354</v>
      </c>
      <c r="D267" s="15">
        <v>38.74</v>
      </c>
      <c r="E267" s="15"/>
      <c r="F267" s="15">
        <f t="shared" si="67"/>
        <v>7.7480000000000011</v>
      </c>
      <c r="G267" s="16">
        <f t="shared" si="66"/>
        <v>46.488</v>
      </c>
      <c r="H267" s="5"/>
      <c r="I267" s="17"/>
      <c r="J267" s="15">
        <f t="shared" si="68"/>
        <v>0</v>
      </c>
    </row>
    <row r="268" spans="1:10" hidden="1" outlineLevel="1">
      <c r="A268" s="105"/>
      <c r="B268" s="6" t="s">
        <v>355</v>
      </c>
      <c r="C268" s="6" t="s">
        <v>356</v>
      </c>
      <c r="D268" s="15">
        <v>38.74</v>
      </c>
      <c r="E268" s="15"/>
      <c r="F268" s="19">
        <f t="shared" si="67"/>
        <v>7.7480000000000011</v>
      </c>
      <c r="G268" s="16">
        <f t="shared" si="66"/>
        <v>46.488</v>
      </c>
      <c r="H268" s="5"/>
      <c r="I268" s="17"/>
      <c r="J268" s="19">
        <f t="shared" si="68"/>
        <v>0</v>
      </c>
    </row>
    <row r="269" spans="1:10" hidden="1" outlineLevel="1">
      <c r="A269" s="105"/>
      <c r="B269" s="6" t="s">
        <v>357</v>
      </c>
      <c r="C269" s="6" t="s">
        <v>358</v>
      </c>
      <c r="D269" s="15">
        <v>44.08</v>
      </c>
      <c r="E269" s="15"/>
      <c r="F269" s="15">
        <f t="shared" si="67"/>
        <v>8.8160000000000007</v>
      </c>
      <c r="G269" s="16">
        <f t="shared" si="66"/>
        <v>52.896000000000001</v>
      </c>
      <c r="H269" s="5"/>
      <c r="I269" s="17"/>
      <c r="J269" s="15">
        <f t="shared" si="68"/>
        <v>0</v>
      </c>
    </row>
    <row r="270" spans="1:10" hidden="1" outlineLevel="1">
      <c r="A270" s="105"/>
      <c r="B270" s="6" t="s">
        <v>359</v>
      </c>
      <c r="C270" s="6" t="s">
        <v>360</v>
      </c>
      <c r="D270" s="15">
        <v>44.08</v>
      </c>
      <c r="E270" s="15"/>
      <c r="F270" s="19">
        <f t="shared" si="67"/>
        <v>8.8160000000000007</v>
      </c>
      <c r="G270" s="16">
        <f t="shared" si="66"/>
        <v>52.896000000000001</v>
      </c>
      <c r="H270" s="5"/>
      <c r="I270" s="17"/>
      <c r="J270" s="19">
        <f t="shared" si="68"/>
        <v>0</v>
      </c>
    </row>
    <row r="271" spans="1:10" hidden="1" outlineLevel="1">
      <c r="A271" s="105"/>
      <c r="B271" s="5"/>
      <c r="C271" s="5"/>
      <c r="D271" s="15">
        <v>0</v>
      </c>
      <c r="E271" s="15"/>
      <c r="F271" s="15">
        <f t="shared" si="67"/>
        <v>0</v>
      </c>
      <c r="G271" s="16">
        <f t="shared" si="66"/>
        <v>0</v>
      </c>
      <c r="H271" s="5"/>
      <c r="I271" s="17"/>
      <c r="J271" s="15">
        <f t="shared" si="68"/>
        <v>0</v>
      </c>
    </row>
    <row r="272" spans="1:10" hidden="1" outlineLevel="1">
      <c r="A272" s="105"/>
      <c r="B272" s="5"/>
      <c r="C272" s="5"/>
      <c r="D272" s="15">
        <v>0</v>
      </c>
      <c r="E272" s="15"/>
      <c r="F272" s="19">
        <f t="shared" si="67"/>
        <v>0</v>
      </c>
      <c r="G272" s="16">
        <f t="shared" si="66"/>
        <v>0</v>
      </c>
      <c r="H272" s="5"/>
      <c r="I272" s="17"/>
      <c r="J272" s="19">
        <f t="shared" si="68"/>
        <v>0</v>
      </c>
    </row>
    <row r="273" spans="1:10" hidden="1" outlineLevel="1">
      <c r="A273" s="105"/>
      <c r="B273" s="5"/>
      <c r="C273" s="5" t="s">
        <v>4479</v>
      </c>
      <c r="D273" s="15">
        <v>0</v>
      </c>
      <c r="E273" s="15"/>
      <c r="F273" s="15">
        <f t="shared" si="67"/>
        <v>0</v>
      </c>
      <c r="G273" s="16">
        <f t="shared" si="66"/>
        <v>0</v>
      </c>
      <c r="H273" s="5"/>
      <c r="I273" s="17"/>
      <c r="J273" s="15">
        <f t="shared" si="68"/>
        <v>0</v>
      </c>
    </row>
    <row r="274" spans="1:10" hidden="1" outlineLevel="1">
      <c r="A274" s="105"/>
      <c r="B274" s="10" t="s">
        <v>361</v>
      </c>
      <c r="C274" s="5"/>
      <c r="D274" s="15"/>
      <c r="E274" s="15"/>
      <c r="F274" s="5"/>
      <c r="G274" s="16">
        <f t="shared" si="66"/>
        <v>0</v>
      </c>
      <c r="H274" s="5"/>
      <c r="I274" s="17"/>
      <c r="J274" s="15"/>
    </row>
    <row r="275" spans="1:10" hidden="1" outlineLevel="1">
      <c r="A275" s="105"/>
      <c r="B275" s="29">
        <v>22850707</v>
      </c>
      <c r="C275" s="6" t="s">
        <v>362</v>
      </c>
      <c r="D275" s="15">
        <v>11.63</v>
      </c>
      <c r="E275" s="15"/>
      <c r="F275" s="19">
        <f t="shared" ref="F275:F280" si="69">D275*20%</f>
        <v>2.3260000000000001</v>
      </c>
      <c r="G275" s="16">
        <f t="shared" si="66"/>
        <v>13.956000000000001</v>
      </c>
      <c r="H275" s="5"/>
      <c r="I275" s="17"/>
      <c r="J275" s="19">
        <f t="shared" ref="J275:J282" si="70">SUM(I275*G275,H275*I275)</f>
        <v>0</v>
      </c>
    </row>
    <row r="276" spans="1:10" hidden="1" outlineLevel="1">
      <c r="A276" s="105"/>
      <c r="B276" s="29">
        <v>22884386</v>
      </c>
      <c r="C276" s="6" t="s">
        <v>363</v>
      </c>
      <c r="D276" s="15">
        <v>4.25</v>
      </c>
      <c r="E276" s="15"/>
      <c r="F276" s="15">
        <f t="shared" si="69"/>
        <v>0.85000000000000009</v>
      </c>
      <c r="G276" s="16">
        <f t="shared" si="66"/>
        <v>5.0999999999999996</v>
      </c>
      <c r="H276" s="5"/>
      <c r="I276" s="17"/>
      <c r="J276" s="15">
        <f t="shared" si="70"/>
        <v>0</v>
      </c>
    </row>
    <row r="277" spans="1:10" hidden="1" outlineLevel="1">
      <c r="A277" s="105"/>
      <c r="B277" s="6" t="s">
        <v>364</v>
      </c>
      <c r="C277" s="6" t="s">
        <v>365</v>
      </c>
      <c r="D277" s="15">
        <v>23.8</v>
      </c>
      <c r="E277" s="15"/>
      <c r="F277" s="19">
        <f t="shared" si="69"/>
        <v>4.7600000000000007</v>
      </c>
      <c r="G277" s="16">
        <f t="shared" si="66"/>
        <v>28.560000000000002</v>
      </c>
      <c r="H277" s="5"/>
      <c r="I277" s="17"/>
      <c r="J277" s="19">
        <f t="shared" si="70"/>
        <v>0</v>
      </c>
    </row>
    <row r="278" spans="1:10" hidden="1" outlineLevel="1">
      <c r="A278" s="105"/>
      <c r="B278" s="6" t="s">
        <v>366</v>
      </c>
      <c r="C278" s="6" t="s">
        <v>367</v>
      </c>
      <c r="D278" s="15">
        <v>52.28</v>
      </c>
      <c r="E278" s="15"/>
      <c r="F278" s="15">
        <f t="shared" si="69"/>
        <v>10.456000000000001</v>
      </c>
      <c r="G278" s="16">
        <f t="shared" si="66"/>
        <v>62.736000000000004</v>
      </c>
      <c r="H278" s="5"/>
      <c r="I278" s="17"/>
      <c r="J278" s="15">
        <f t="shared" si="70"/>
        <v>0</v>
      </c>
    </row>
    <row r="279" spans="1:10" hidden="1" outlineLevel="1">
      <c r="A279" s="105"/>
      <c r="B279" s="29">
        <v>33375001</v>
      </c>
      <c r="C279" s="6" t="s">
        <v>368</v>
      </c>
      <c r="D279" s="15">
        <v>62.48</v>
      </c>
      <c r="E279" s="15"/>
      <c r="F279" s="19">
        <f t="shared" si="69"/>
        <v>12.496</v>
      </c>
      <c r="G279" s="24">
        <f t="shared" si="66"/>
        <v>74.975999999999999</v>
      </c>
      <c r="H279" s="5"/>
      <c r="I279" s="17"/>
      <c r="J279" s="19">
        <f t="shared" si="70"/>
        <v>0</v>
      </c>
    </row>
    <row r="280" spans="1:10" hidden="1" outlineLevel="1">
      <c r="A280" s="105"/>
      <c r="B280" s="29">
        <v>50210101</v>
      </c>
      <c r="C280" s="6" t="s">
        <v>369</v>
      </c>
      <c r="D280" s="15">
        <v>19.2</v>
      </c>
      <c r="E280" s="15"/>
      <c r="F280" s="15">
        <f t="shared" si="69"/>
        <v>3.84</v>
      </c>
      <c r="G280" s="16">
        <f t="shared" si="66"/>
        <v>23.04</v>
      </c>
      <c r="H280" s="5"/>
      <c r="I280" s="17"/>
      <c r="J280" s="15">
        <f t="shared" si="70"/>
        <v>0</v>
      </c>
    </row>
    <row r="281" spans="1:10" hidden="1" outlineLevel="1">
      <c r="A281" s="105"/>
      <c r="B281" s="29">
        <v>33884381</v>
      </c>
      <c r="C281" s="6" t="s">
        <v>370</v>
      </c>
      <c r="D281" s="15">
        <v>6.23</v>
      </c>
      <c r="E281" s="15"/>
      <c r="F281" s="19">
        <f>D281*40%</f>
        <v>2.4920000000000004</v>
      </c>
      <c r="G281" s="24">
        <f t="shared" si="66"/>
        <v>8.7220000000000013</v>
      </c>
      <c r="H281" s="5"/>
      <c r="I281" s="17"/>
      <c r="J281" s="19">
        <f t="shared" si="70"/>
        <v>0</v>
      </c>
    </row>
    <row r="282" spans="1:10" hidden="1" outlineLevel="1">
      <c r="A282" s="105"/>
      <c r="B282" s="5">
        <v>22372108</v>
      </c>
      <c r="C282" s="5" t="s">
        <v>4447</v>
      </c>
      <c r="D282" s="15">
        <v>38.1</v>
      </c>
      <c r="E282" s="15"/>
      <c r="F282" s="15">
        <f>D282*20%</f>
        <v>7.620000000000001</v>
      </c>
      <c r="G282" s="16">
        <f t="shared" si="66"/>
        <v>45.72</v>
      </c>
      <c r="H282" s="5"/>
      <c r="I282" s="17"/>
      <c r="J282" s="15">
        <f t="shared" si="70"/>
        <v>0</v>
      </c>
    </row>
    <row r="283" spans="1:10" hidden="1" outlineLevel="1">
      <c r="A283" s="105"/>
      <c r="B283" s="10" t="s">
        <v>371</v>
      </c>
      <c r="C283" s="5"/>
      <c r="D283" s="15"/>
      <c r="E283" s="15"/>
      <c r="F283" s="5"/>
      <c r="G283" s="16">
        <f t="shared" si="66"/>
        <v>0</v>
      </c>
      <c r="H283" s="5"/>
      <c r="I283" s="17"/>
      <c r="J283" s="15"/>
    </row>
    <row r="284" spans="1:10" hidden="1" outlineLevel="1">
      <c r="A284" s="105"/>
      <c r="B284" s="6" t="s">
        <v>372</v>
      </c>
      <c r="C284" s="6" t="s">
        <v>373</v>
      </c>
      <c r="D284" s="15">
        <v>131.4</v>
      </c>
      <c r="E284" s="15"/>
      <c r="F284" s="19">
        <f t="shared" ref="F284:F289" si="71">D284*20%</f>
        <v>26.28</v>
      </c>
      <c r="G284" s="16">
        <f t="shared" si="66"/>
        <v>157.68</v>
      </c>
      <c r="H284" s="5"/>
      <c r="I284" s="17"/>
      <c r="J284" s="19">
        <f t="shared" ref="J284:J289" si="72">SUM(I284*G284,H284*I284)</f>
        <v>0</v>
      </c>
    </row>
    <row r="285" spans="1:10" hidden="1" outlineLevel="1">
      <c r="A285" s="105"/>
      <c r="B285" s="6" t="s">
        <v>374</v>
      </c>
      <c r="C285" s="6" t="s">
        <v>375</v>
      </c>
      <c r="D285" s="15">
        <v>25.52</v>
      </c>
      <c r="E285" s="15"/>
      <c r="F285" s="15">
        <f t="shared" si="71"/>
        <v>5.1040000000000001</v>
      </c>
      <c r="G285" s="16">
        <f t="shared" si="66"/>
        <v>30.623999999999999</v>
      </c>
      <c r="H285" s="5"/>
      <c r="I285" s="17"/>
      <c r="J285" s="15">
        <f t="shared" si="72"/>
        <v>0</v>
      </c>
    </row>
    <row r="286" spans="1:10" hidden="1" outlineLevel="1">
      <c r="A286" s="105"/>
      <c r="B286" s="5"/>
      <c r="C286" s="5"/>
      <c r="D286" s="15">
        <v>0</v>
      </c>
      <c r="E286" s="15"/>
      <c r="F286" s="19">
        <f t="shared" si="71"/>
        <v>0</v>
      </c>
      <c r="G286" s="16">
        <f t="shared" si="66"/>
        <v>0</v>
      </c>
      <c r="H286" s="5"/>
      <c r="I286" s="17"/>
      <c r="J286" s="19">
        <f t="shared" si="72"/>
        <v>0</v>
      </c>
    </row>
    <row r="287" spans="1:10" hidden="1" outlineLevel="1">
      <c r="A287" s="105"/>
      <c r="B287" s="6" t="s">
        <v>376</v>
      </c>
      <c r="C287" s="6" t="s">
        <v>377</v>
      </c>
      <c r="D287" s="15">
        <v>677.35</v>
      </c>
      <c r="E287" s="15"/>
      <c r="F287" s="15">
        <f t="shared" si="71"/>
        <v>135.47</v>
      </c>
      <c r="G287" s="16">
        <f t="shared" si="66"/>
        <v>812.82</v>
      </c>
      <c r="H287" s="5"/>
      <c r="I287" s="17"/>
      <c r="J287" s="15">
        <f t="shared" si="72"/>
        <v>0</v>
      </c>
    </row>
    <row r="288" spans="1:10" hidden="1" outlineLevel="1">
      <c r="A288" s="105"/>
      <c r="B288" s="5"/>
      <c r="C288" s="5"/>
      <c r="D288" s="15">
        <v>0</v>
      </c>
      <c r="E288" s="15"/>
      <c r="F288" s="19">
        <f t="shared" si="71"/>
        <v>0</v>
      </c>
      <c r="G288" s="16">
        <f t="shared" si="66"/>
        <v>0</v>
      </c>
      <c r="H288" s="5"/>
      <c r="I288" s="17"/>
      <c r="J288" s="19">
        <f t="shared" si="72"/>
        <v>0</v>
      </c>
    </row>
    <row r="289" spans="1:10" hidden="1" outlineLevel="1">
      <c r="A289" s="105"/>
      <c r="B289" s="5"/>
      <c r="C289" s="5"/>
      <c r="D289" s="15">
        <v>0</v>
      </c>
      <c r="E289" s="15"/>
      <c r="F289" s="15">
        <f t="shared" si="71"/>
        <v>0</v>
      </c>
      <c r="G289" s="16">
        <f t="shared" si="66"/>
        <v>0</v>
      </c>
      <c r="H289" s="5"/>
      <c r="I289" s="17"/>
      <c r="J289" s="15">
        <f t="shared" si="72"/>
        <v>0</v>
      </c>
    </row>
    <row r="290" spans="1:10" hidden="1" outlineLevel="1">
      <c r="A290" s="105"/>
      <c r="B290" s="10" t="s">
        <v>378</v>
      </c>
      <c r="C290" s="5"/>
      <c r="D290" s="15"/>
      <c r="E290" s="15"/>
      <c r="F290" s="5"/>
      <c r="G290" s="16">
        <f t="shared" si="66"/>
        <v>0</v>
      </c>
      <c r="H290" s="5"/>
      <c r="I290" s="17"/>
      <c r="J290" s="15"/>
    </row>
    <row r="291" spans="1:10" hidden="1" outlineLevel="1">
      <c r="A291" s="105"/>
      <c r="B291" s="6" t="s">
        <v>379</v>
      </c>
      <c r="C291" s="6" t="s">
        <v>380</v>
      </c>
      <c r="D291" s="15">
        <v>1179.1099999999999</v>
      </c>
      <c r="E291" s="15"/>
      <c r="F291" s="19">
        <f>D291*20%</f>
        <v>235.822</v>
      </c>
      <c r="G291" s="16">
        <f t="shared" si="66"/>
        <v>1414.9319999999998</v>
      </c>
      <c r="H291" s="5"/>
      <c r="I291" s="17"/>
      <c r="J291" s="19">
        <f>SUM(I291*G291,H291*I291)</f>
        <v>0</v>
      </c>
    </row>
    <row r="292" spans="1:10" hidden="1" outlineLevel="1">
      <c r="A292" s="105"/>
      <c r="B292" s="5"/>
      <c r="C292" s="5"/>
      <c r="D292" s="15">
        <v>0</v>
      </c>
      <c r="E292" s="15"/>
      <c r="F292" s="19">
        <f>D292*20%</f>
        <v>0</v>
      </c>
      <c r="G292" s="16">
        <f t="shared" si="66"/>
        <v>0</v>
      </c>
      <c r="H292" s="5"/>
      <c r="I292" s="17"/>
      <c r="J292" s="19">
        <f>SUM(I292*G292,H292*I292)</f>
        <v>0</v>
      </c>
    </row>
    <row r="293" spans="1:10" hidden="1" outlineLevel="1">
      <c r="A293" s="105"/>
      <c r="B293" s="5"/>
      <c r="C293" s="5"/>
      <c r="D293" s="15">
        <v>0</v>
      </c>
      <c r="E293" s="15"/>
      <c r="F293" s="15">
        <f>D293*20%</f>
        <v>0</v>
      </c>
      <c r="G293" s="16">
        <f t="shared" si="66"/>
        <v>0</v>
      </c>
      <c r="H293" s="5"/>
      <c r="I293" s="17"/>
      <c r="J293" s="15">
        <f>SUM(I293*G293,H293*I293)</f>
        <v>0</v>
      </c>
    </row>
    <row r="294" spans="1:10" hidden="1" outlineLevel="1">
      <c r="A294" s="105"/>
      <c r="B294" s="5" t="s">
        <v>4462</v>
      </c>
      <c r="C294" s="5" t="s">
        <v>4463</v>
      </c>
      <c r="D294" s="15">
        <v>271.85000000000002</v>
      </c>
      <c r="E294" s="15"/>
      <c r="F294" s="19">
        <f>D294*20%</f>
        <v>54.370000000000005</v>
      </c>
      <c r="G294" s="16">
        <f t="shared" si="66"/>
        <v>326.22000000000003</v>
      </c>
      <c r="H294" s="5"/>
      <c r="I294" s="17"/>
      <c r="J294" s="19">
        <f>SUM(I294*G294,H294*I294)</f>
        <v>0</v>
      </c>
    </row>
    <row r="295" spans="1:10" hidden="1" outlineLevel="1">
      <c r="A295" s="105"/>
      <c r="B295" s="10" t="s">
        <v>381</v>
      </c>
      <c r="C295" s="5"/>
      <c r="D295" s="15"/>
      <c r="E295" s="15"/>
      <c r="F295" s="5"/>
      <c r="G295" s="16">
        <f t="shared" si="66"/>
        <v>0</v>
      </c>
      <c r="H295" s="5"/>
      <c r="I295" s="17"/>
      <c r="J295" s="15"/>
    </row>
    <row r="296" spans="1:10" hidden="1" outlineLevel="1">
      <c r="A296" s="105"/>
      <c r="B296" s="6" t="s">
        <v>382</v>
      </c>
      <c r="C296" s="6" t="s">
        <v>383</v>
      </c>
      <c r="D296" s="15">
        <v>6.46</v>
      </c>
      <c r="E296" s="15"/>
      <c r="F296" s="19">
        <f>D296*20%</f>
        <v>1.292</v>
      </c>
      <c r="G296" s="16">
        <f t="shared" si="66"/>
        <v>7.7519999999999998</v>
      </c>
      <c r="H296" s="5"/>
      <c r="I296" s="17"/>
      <c r="J296" s="19">
        <f>SUM(I296*G296,H296*I296)</f>
        <v>0</v>
      </c>
    </row>
    <row r="297" spans="1:10" hidden="1" outlineLevel="1">
      <c r="A297" s="105"/>
      <c r="B297" s="6" t="s">
        <v>384</v>
      </c>
      <c r="C297" s="6" t="s">
        <v>385</v>
      </c>
      <c r="D297" s="15">
        <v>16.2</v>
      </c>
      <c r="E297" s="15"/>
      <c r="F297" s="19">
        <f>D297*20%</f>
        <v>3.24</v>
      </c>
      <c r="G297" s="16">
        <f t="shared" si="66"/>
        <v>19.439999999999998</v>
      </c>
      <c r="H297" s="5"/>
      <c r="I297" s="17"/>
      <c r="J297" s="19">
        <f>SUM(I297*G297,H297*I297)</f>
        <v>0</v>
      </c>
    </row>
    <row r="298" spans="1:10" hidden="1">
      <c r="A298" s="106"/>
      <c r="B298" s="165" t="s">
        <v>4469</v>
      </c>
      <c r="C298" s="166"/>
      <c r="D298" s="166"/>
      <c r="E298" s="166"/>
      <c r="F298" s="166"/>
      <c r="G298" s="166"/>
      <c r="H298" s="166"/>
      <c r="I298" s="166"/>
      <c r="J298" s="167"/>
    </row>
    <row r="299" spans="1:10" hidden="1" outlineLevel="1">
      <c r="A299" s="105"/>
      <c r="B299" s="8"/>
      <c r="C299" s="5"/>
      <c r="D299" s="15">
        <v>0</v>
      </c>
      <c r="E299" s="15"/>
      <c r="F299" s="19">
        <f t="shared" ref="F299:F304" si="73">D299*20%</f>
        <v>0</v>
      </c>
      <c r="G299" s="16">
        <f t="shared" si="66"/>
        <v>0</v>
      </c>
      <c r="H299" s="5"/>
      <c r="I299" s="17"/>
      <c r="J299" s="19">
        <v>0</v>
      </c>
    </row>
    <row r="300" spans="1:10" ht="12" hidden="1" customHeight="1" outlineLevel="1">
      <c r="A300" s="105"/>
      <c r="B300" s="8"/>
      <c r="C300" s="5"/>
      <c r="D300" s="15">
        <v>0</v>
      </c>
      <c r="E300" s="15"/>
      <c r="F300" s="19">
        <f t="shared" si="73"/>
        <v>0</v>
      </c>
      <c r="G300" s="16">
        <f t="shared" si="66"/>
        <v>0</v>
      </c>
      <c r="H300" s="5"/>
      <c r="I300" s="17"/>
      <c r="J300" s="19">
        <f t="shared" ref="J300:J304" si="74">SUM(I300*G300,H300*I300)</f>
        <v>0</v>
      </c>
    </row>
    <row r="301" spans="1:10" hidden="1" outlineLevel="1">
      <c r="A301" s="105"/>
      <c r="B301" s="6"/>
      <c r="C301" s="6"/>
      <c r="D301" s="15">
        <v>0</v>
      </c>
      <c r="E301" s="15"/>
      <c r="F301" s="19">
        <f t="shared" si="73"/>
        <v>0</v>
      </c>
      <c r="G301" s="16">
        <f t="shared" si="66"/>
        <v>0</v>
      </c>
      <c r="H301" s="5"/>
      <c r="I301" s="17"/>
      <c r="J301" s="19">
        <f t="shared" si="74"/>
        <v>0</v>
      </c>
    </row>
    <row r="302" spans="1:10" hidden="1" outlineLevel="1">
      <c r="A302" s="105"/>
      <c r="B302" s="6"/>
      <c r="C302" s="6"/>
      <c r="D302" s="15">
        <v>0</v>
      </c>
      <c r="E302" s="15"/>
      <c r="F302" s="19">
        <f t="shared" si="73"/>
        <v>0</v>
      </c>
      <c r="G302" s="16">
        <f t="shared" si="66"/>
        <v>0</v>
      </c>
      <c r="H302" s="5"/>
      <c r="I302" s="17"/>
      <c r="J302" s="19">
        <f t="shared" si="74"/>
        <v>0</v>
      </c>
    </row>
    <row r="303" spans="1:10" hidden="1" outlineLevel="1">
      <c r="A303" s="105"/>
      <c r="B303" s="8"/>
      <c r="C303" s="5"/>
      <c r="D303" s="15">
        <v>0</v>
      </c>
      <c r="E303" s="15"/>
      <c r="F303" s="19">
        <f t="shared" si="73"/>
        <v>0</v>
      </c>
      <c r="G303" s="16">
        <f t="shared" si="66"/>
        <v>0</v>
      </c>
      <c r="H303" s="5"/>
      <c r="I303" s="17"/>
      <c r="J303" s="19">
        <f t="shared" si="74"/>
        <v>0</v>
      </c>
    </row>
    <row r="304" spans="1:10" ht="12" hidden="1" customHeight="1" outlineLevel="1">
      <c r="A304" s="105"/>
      <c r="B304" s="8"/>
      <c r="C304" s="5"/>
      <c r="D304" s="15">
        <v>0</v>
      </c>
      <c r="E304" s="15"/>
      <c r="F304" s="19">
        <f t="shared" si="73"/>
        <v>0</v>
      </c>
      <c r="G304" s="16">
        <f t="shared" si="66"/>
        <v>0</v>
      </c>
      <c r="H304" s="5"/>
      <c r="I304" s="17"/>
      <c r="J304" s="19">
        <f t="shared" si="74"/>
        <v>0</v>
      </c>
    </row>
    <row r="305" spans="1:10" collapsed="1">
      <c r="A305" s="105"/>
      <c r="B305" s="162" t="s">
        <v>4469</v>
      </c>
      <c r="C305" s="163"/>
      <c r="D305" s="163"/>
      <c r="E305" s="163"/>
      <c r="F305" s="163"/>
      <c r="G305" s="163"/>
      <c r="H305" s="163"/>
      <c r="I305" s="164"/>
      <c r="J305" s="33">
        <f>SUM(J227:J304)</f>
        <v>181.76400000000001</v>
      </c>
    </row>
    <row r="306" spans="1:10" hidden="1">
      <c r="A306" s="106"/>
      <c r="B306" s="165" t="s">
        <v>4461</v>
      </c>
      <c r="C306" s="166"/>
      <c r="D306" s="166"/>
      <c r="E306" s="166"/>
      <c r="F306" s="166"/>
      <c r="G306" s="166"/>
      <c r="H306" s="166"/>
      <c r="I306" s="166"/>
      <c r="J306" s="167"/>
    </row>
    <row r="307" spans="1:10" hidden="1" outlineLevel="1">
      <c r="A307" s="105"/>
      <c r="B307" s="10" t="s">
        <v>3</v>
      </c>
      <c r="C307" s="10" t="s">
        <v>21</v>
      </c>
      <c r="D307" s="10" t="s">
        <v>22</v>
      </c>
      <c r="E307" s="12"/>
      <c r="F307" s="10" t="s">
        <v>386</v>
      </c>
      <c r="G307" s="12"/>
      <c r="H307" s="10" t="s">
        <v>387</v>
      </c>
      <c r="I307" s="10" t="s">
        <v>388</v>
      </c>
      <c r="J307" s="10" t="s">
        <v>25</v>
      </c>
    </row>
    <row r="308" spans="1:10" hidden="1" outlineLevel="1">
      <c r="A308" s="105"/>
      <c r="B308" s="8"/>
      <c r="C308" s="6"/>
      <c r="D308" s="19">
        <v>0</v>
      </c>
      <c r="E308" s="19">
        <f>SUM(D308*20%)</f>
        <v>0</v>
      </c>
      <c r="F308" s="19">
        <f>SUM(D308:E308)</f>
        <v>0</v>
      </c>
      <c r="G308" s="18"/>
      <c r="H308" s="18"/>
      <c r="I308" s="23"/>
      <c r="J308" s="19">
        <f>SUM(F308)</f>
        <v>0</v>
      </c>
    </row>
    <row r="309" spans="1:10" hidden="1" outlineLevel="1">
      <c r="A309" s="105"/>
      <c r="B309" s="8"/>
      <c r="C309" s="6"/>
      <c r="D309" s="19">
        <v>0</v>
      </c>
      <c r="E309" s="19">
        <f t="shared" ref="E309:E312" si="75">SUM(D309*20%)</f>
        <v>0</v>
      </c>
      <c r="F309" s="19">
        <f t="shared" ref="F309:F312" si="76">SUM(D309:E309)</f>
        <v>0</v>
      </c>
      <c r="G309" s="5"/>
      <c r="H309" s="5"/>
      <c r="I309" s="23"/>
      <c r="J309" s="19">
        <f t="shared" ref="J309:J312" si="77">SUM(F309)</f>
        <v>0</v>
      </c>
    </row>
    <row r="310" spans="1:10" hidden="1" outlineLevel="1">
      <c r="A310" s="105"/>
      <c r="B310" s="8"/>
      <c r="C310" s="6"/>
      <c r="D310" s="19">
        <v>0</v>
      </c>
      <c r="E310" s="19">
        <f t="shared" si="75"/>
        <v>0</v>
      </c>
      <c r="F310" s="19">
        <f t="shared" ref="F310" si="78">SUM(D310:E310)</f>
        <v>0</v>
      </c>
      <c r="G310" s="5"/>
      <c r="H310" s="5"/>
      <c r="I310" s="23"/>
      <c r="J310" s="19">
        <f t="shared" ref="J310" si="79">SUM(F310)</f>
        <v>0</v>
      </c>
    </row>
    <row r="311" spans="1:10" hidden="1" outlineLevel="1">
      <c r="A311" s="105"/>
      <c r="B311" s="8"/>
      <c r="C311" s="6"/>
      <c r="D311" s="19">
        <v>0</v>
      </c>
      <c r="E311" s="19">
        <f t="shared" si="75"/>
        <v>0</v>
      </c>
      <c r="F311" s="19">
        <f t="shared" si="76"/>
        <v>0</v>
      </c>
      <c r="G311" s="18"/>
      <c r="H311" s="18"/>
      <c r="I311" s="23"/>
      <c r="J311" s="19">
        <f t="shared" si="77"/>
        <v>0</v>
      </c>
    </row>
    <row r="312" spans="1:10" hidden="1" outlineLevel="1">
      <c r="A312" s="105"/>
      <c r="B312" s="8"/>
      <c r="C312" s="6"/>
      <c r="D312" s="19">
        <v>0</v>
      </c>
      <c r="E312" s="19">
        <f t="shared" si="75"/>
        <v>0</v>
      </c>
      <c r="F312" s="19">
        <f t="shared" si="76"/>
        <v>0</v>
      </c>
      <c r="G312" s="18"/>
      <c r="H312" s="18"/>
      <c r="I312" s="23"/>
      <c r="J312" s="19">
        <f t="shared" si="77"/>
        <v>0</v>
      </c>
    </row>
    <row r="313" spans="1:10" hidden="1" outlineLevel="1">
      <c r="A313" s="105"/>
      <c r="B313" s="8"/>
      <c r="C313" s="6"/>
      <c r="D313" s="19">
        <v>0</v>
      </c>
      <c r="E313" s="19">
        <f t="shared" ref="E313:E315" si="80">SUM(D313*20%)</f>
        <v>0</v>
      </c>
      <c r="F313" s="19">
        <f t="shared" ref="F313:F315" si="81">SUM(D313:E313)</f>
        <v>0</v>
      </c>
      <c r="G313" s="18"/>
      <c r="H313" s="18"/>
      <c r="I313" s="23"/>
      <c r="J313" s="19">
        <f t="shared" ref="J313:J315" si="82">SUM(F313)</f>
        <v>0</v>
      </c>
    </row>
    <row r="314" spans="1:10" hidden="1" outlineLevel="1">
      <c r="A314" s="105"/>
      <c r="B314" s="8"/>
      <c r="C314" s="6"/>
      <c r="D314" s="19">
        <v>0</v>
      </c>
      <c r="E314" s="19">
        <f t="shared" si="80"/>
        <v>0</v>
      </c>
      <c r="F314" s="19">
        <f t="shared" si="81"/>
        <v>0</v>
      </c>
      <c r="G314" s="18"/>
      <c r="H314" s="18"/>
      <c r="I314" s="23"/>
      <c r="J314" s="19">
        <f t="shared" si="82"/>
        <v>0</v>
      </c>
    </row>
    <row r="315" spans="1:10" hidden="1" outlineLevel="1">
      <c r="A315" s="105"/>
      <c r="B315" s="8"/>
      <c r="C315" s="6"/>
      <c r="D315" s="19">
        <v>0</v>
      </c>
      <c r="E315" s="19">
        <f t="shared" si="80"/>
        <v>0</v>
      </c>
      <c r="F315" s="19">
        <f t="shared" si="81"/>
        <v>0</v>
      </c>
      <c r="G315" s="18"/>
      <c r="H315" s="18"/>
      <c r="I315" s="23"/>
      <c r="J315" s="19">
        <f t="shared" si="82"/>
        <v>0</v>
      </c>
    </row>
    <row r="316" spans="1:10" hidden="1" collapsed="1">
      <c r="A316" s="105"/>
      <c r="B316" s="162" t="s">
        <v>4459</v>
      </c>
      <c r="C316" s="163"/>
      <c r="D316" s="163"/>
      <c r="E316" s="163"/>
      <c r="F316" s="163"/>
      <c r="G316" s="163"/>
      <c r="H316" s="163"/>
      <c r="I316" s="164"/>
      <c r="J316" s="33">
        <f>SUM(J308:J315)</f>
        <v>0</v>
      </c>
    </row>
    <row r="317" spans="1:10" hidden="1">
      <c r="A317" s="106"/>
      <c r="B317" s="165" t="s">
        <v>389</v>
      </c>
      <c r="C317" s="166"/>
      <c r="D317" s="166"/>
      <c r="E317" s="166"/>
      <c r="F317" s="166"/>
      <c r="G317" s="166"/>
      <c r="H317" s="166"/>
      <c r="I317" s="166"/>
      <c r="J317" s="167"/>
    </row>
    <row r="318" spans="1:10" hidden="1" outlineLevel="1">
      <c r="A318" s="105"/>
      <c r="B318" s="10" t="s">
        <v>3</v>
      </c>
      <c r="C318" s="10" t="s">
        <v>390</v>
      </c>
      <c r="D318" s="10" t="s">
        <v>22</v>
      </c>
      <c r="E318" s="12"/>
      <c r="F318" s="12"/>
      <c r="G318" s="12"/>
      <c r="H318" s="12"/>
      <c r="I318" s="10" t="s">
        <v>24</v>
      </c>
      <c r="J318" s="10" t="s">
        <v>25</v>
      </c>
    </row>
    <row r="319" spans="1:10" hidden="1" outlineLevel="1">
      <c r="A319" s="105"/>
      <c r="B319" s="8"/>
      <c r="C319" s="5"/>
      <c r="D319" s="15"/>
      <c r="E319" s="15"/>
      <c r="F319" s="16"/>
      <c r="G319" s="5"/>
      <c r="H319" s="5"/>
      <c r="I319" s="23"/>
      <c r="J319" s="15"/>
    </row>
    <row r="320" spans="1:10" hidden="1" outlineLevel="1">
      <c r="A320" s="105"/>
      <c r="B320" s="8"/>
      <c r="C320" s="5"/>
      <c r="D320" s="15"/>
      <c r="E320" s="5"/>
      <c r="F320" s="16"/>
      <c r="G320" s="5"/>
      <c r="H320" s="5"/>
      <c r="I320" s="23"/>
      <c r="J320" s="15"/>
    </row>
    <row r="321" spans="1:10" hidden="1" outlineLevel="1">
      <c r="A321" s="105"/>
      <c r="B321" s="5"/>
      <c r="C321" s="5"/>
      <c r="D321" s="15"/>
      <c r="E321" s="5"/>
      <c r="F321" s="16"/>
      <c r="G321" s="5"/>
      <c r="H321" s="5"/>
      <c r="I321" s="23"/>
      <c r="J321" s="15">
        <f>SUM(D321*I321)</f>
        <v>0</v>
      </c>
    </row>
    <row r="322" spans="1:10" hidden="1" outlineLevel="1">
      <c r="A322" s="105"/>
      <c r="B322" s="5"/>
      <c r="C322" s="5"/>
      <c r="D322" s="15"/>
      <c r="E322" s="15"/>
      <c r="F322" s="16"/>
      <c r="G322" s="5"/>
      <c r="H322" s="5"/>
      <c r="I322" s="23"/>
      <c r="J322" s="15">
        <v>0</v>
      </c>
    </row>
    <row r="323" spans="1:10" hidden="1" outlineLevel="1">
      <c r="A323" s="105"/>
      <c r="B323" s="5"/>
      <c r="C323" s="5"/>
      <c r="D323" s="5"/>
      <c r="E323" s="5"/>
      <c r="F323" s="5"/>
      <c r="G323" s="5"/>
      <c r="H323" s="5"/>
      <c r="I323" s="23"/>
      <c r="J323" s="15">
        <v>0</v>
      </c>
    </row>
    <row r="324" spans="1:10" hidden="1" outlineLevel="1">
      <c r="A324" s="105"/>
      <c r="B324" s="5"/>
      <c r="C324" s="5"/>
      <c r="D324" s="15"/>
      <c r="E324" s="5"/>
      <c r="F324" s="16"/>
      <c r="G324" s="5"/>
      <c r="H324" s="5"/>
      <c r="I324" s="23"/>
      <c r="J324" s="15">
        <v>0</v>
      </c>
    </row>
    <row r="325" spans="1:10" hidden="1" outlineLevel="1">
      <c r="A325" s="105"/>
      <c r="B325" s="5"/>
      <c r="C325" s="5"/>
      <c r="D325" s="15"/>
      <c r="E325" s="5"/>
      <c r="F325" s="16"/>
      <c r="G325" s="5"/>
      <c r="H325" s="5"/>
      <c r="I325" s="23"/>
      <c r="J325" s="15">
        <v>0</v>
      </c>
    </row>
    <row r="326" spans="1:10" hidden="1" outlineLevel="1">
      <c r="A326" s="105"/>
      <c r="B326" s="5"/>
      <c r="C326" s="5"/>
      <c r="D326" s="15"/>
      <c r="E326" s="15"/>
      <c r="F326" s="16"/>
      <c r="G326" s="5"/>
      <c r="H326" s="5"/>
      <c r="I326" s="23"/>
      <c r="J326" s="15">
        <v>0</v>
      </c>
    </row>
    <row r="327" spans="1:10" hidden="1" outlineLevel="1">
      <c r="A327" s="105"/>
      <c r="B327" s="5"/>
      <c r="C327" s="5"/>
      <c r="D327" s="5"/>
      <c r="E327" s="5"/>
      <c r="F327" s="5"/>
      <c r="G327" s="5"/>
      <c r="H327" s="5"/>
      <c r="I327" s="23"/>
      <c r="J327" s="15">
        <v>0</v>
      </c>
    </row>
    <row r="328" spans="1:10" hidden="1" outlineLevel="1">
      <c r="A328" s="105"/>
      <c r="B328" s="5"/>
      <c r="C328" s="5"/>
      <c r="D328" s="15"/>
      <c r="E328" s="5"/>
      <c r="F328" s="16"/>
      <c r="G328" s="5"/>
      <c r="H328" s="5"/>
      <c r="I328" s="23"/>
      <c r="J328" s="15">
        <v>0</v>
      </c>
    </row>
    <row r="329" spans="1:10" hidden="1" outlineLevel="1">
      <c r="A329" s="105"/>
      <c r="B329" s="5"/>
      <c r="C329" s="5"/>
      <c r="D329" s="15"/>
      <c r="E329" s="5"/>
      <c r="F329" s="16"/>
      <c r="G329" s="5"/>
      <c r="H329" s="5"/>
      <c r="I329" s="23"/>
      <c r="J329" s="15">
        <v>0</v>
      </c>
    </row>
    <row r="330" spans="1:10" hidden="1" outlineLevel="1">
      <c r="A330" s="105"/>
      <c r="B330" s="6" t="s">
        <v>391</v>
      </c>
      <c r="C330" s="6" t="s">
        <v>391</v>
      </c>
      <c r="D330" s="15"/>
      <c r="E330" s="5"/>
      <c r="F330" s="16"/>
      <c r="G330" s="5"/>
      <c r="H330" s="5"/>
      <c r="I330" s="23"/>
      <c r="J330" s="15">
        <v>0</v>
      </c>
    </row>
    <row r="331" spans="1:10" hidden="1" collapsed="1">
      <c r="A331" s="105"/>
      <c r="B331" s="162" t="s">
        <v>4460</v>
      </c>
      <c r="C331" s="163"/>
      <c r="D331" s="163"/>
      <c r="E331" s="163"/>
      <c r="F331" s="163"/>
      <c r="G331" s="163"/>
      <c r="H331" s="163"/>
      <c r="I331" s="164"/>
      <c r="J331" s="33">
        <f>SUM(J319:J330)</f>
        <v>0</v>
      </c>
    </row>
    <row r="332" spans="1:10" ht="14">
      <c r="A332" s="106"/>
      <c r="B332" s="186" t="s">
        <v>4458</v>
      </c>
      <c r="C332" s="187"/>
      <c r="D332" s="187"/>
      <c r="E332" s="187"/>
      <c r="F332" s="187"/>
      <c r="G332" s="187"/>
      <c r="H332" s="187"/>
      <c r="I332" s="187"/>
      <c r="J332" s="187"/>
    </row>
    <row r="333" spans="1:10">
      <c r="A333" s="108"/>
      <c r="B333" s="45" t="s">
        <v>3</v>
      </c>
      <c r="C333" s="45" t="s">
        <v>392</v>
      </c>
      <c r="D333" s="45" t="s">
        <v>393</v>
      </c>
      <c r="E333" s="46"/>
      <c r="F333" s="47" t="s">
        <v>394</v>
      </c>
      <c r="G333" s="46"/>
      <c r="H333" s="46"/>
      <c r="I333" s="48" t="s">
        <v>395</v>
      </c>
      <c r="J333" s="45" t="s">
        <v>13</v>
      </c>
    </row>
    <row r="334" spans="1:10" outlineLevel="1">
      <c r="A334" s="109"/>
      <c r="B334" s="75">
        <v>44782</v>
      </c>
      <c r="C334" s="76" t="s">
        <v>4508</v>
      </c>
      <c r="D334" s="81">
        <v>70</v>
      </c>
      <c r="E334" s="82"/>
      <c r="F334" s="77">
        <v>4.25</v>
      </c>
      <c r="G334" s="83" t="s">
        <v>396</v>
      </c>
      <c r="H334" s="82"/>
      <c r="I334" s="78">
        <v>1</v>
      </c>
      <c r="J334" s="19">
        <f t="shared" ref="J334:J351" si="83">D334*F334*I334</f>
        <v>297.5</v>
      </c>
    </row>
    <row r="335" spans="1:10" outlineLevel="1">
      <c r="A335" s="109"/>
      <c r="B335" s="75">
        <v>44782</v>
      </c>
      <c r="C335" s="76" t="s">
        <v>4509</v>
      </c>
      <c r="D335" s="81">
        <v>70</v>
      </c>
      <c r="E335" s="82"/>
      <c r="F335" s="77">
        <v>2</v>
      </c>
      <c r="G335" s="82"/>
      <c r="H335" s="82"/>
      <c r="I335" s="78">
        <v>1</v>
      </c>
      <c r="J335" s="19">
        <f t="shared" si="83"/>
        <v>140</v>
      </c>
    </row>
    <row r="336" spans="1:10" outlineLevel="1">
      <c r="A336" s="109"/>
      <c r="B336" s="75">
        <v>44783</v>
      </c>
      <c r="C336" s="76" t="s">
        <v>4506</v>
      </c>
      <c r="D336" s="81">
        <v>70</v>
      </c>
      <c r="E336" s="82"/>
      <c r="F336" s="77">
        <v>7.25</v>
      </c>
      <c r="G336" s="82"/>
      <c r="H336" s="82"/>
      <c r="I336" s="78">
        <v>2</v>
      </c>
      <c r="J336" s="19">
        <f t="shared" si="83"/>
        <v>1015</v>
      </c>
    </row>
    <row r="337" spans="1:10" hidden="1" outlineLevel="1">
      <c r="A337" s="109"/>
      <c r="B337" s="75"/>
      <c r="C337" s="76"/>
      <c r="D337" s="81">
        <v>70</v>
      </c>
      <c r="E337" s="82"/>
      <c r="F337" s="77"/>
      <c r="G337" s="82"/>
      <c r="H337" s="82"/>
      <c r="I337" s="78"/>
      <c r="J337" s="19">
        <f t="shared" si="83"/>
        <v>0</v>
      </c>
    </row>
    <row r="338" spans="1:10" hidden="1" outlineLevel="1">
      <c r="A338" s="109"/>
      <c r="B338" s="75"/>
      <c r="C338" s="76"/>
      <c r="D338" s="81">
        <v>70</v>
      </c>
      <c r="E338" s="82"/>
      <c r="F338" s="77"/>
      <c r="G338" s="82"/>
      <c r="H338" s="82"/>
      <c r="I338" s="78"/>
      <c r="J338" s="19">
        <f t="shared" si="83"/>
        <v>0</v>
      </c>
    </row>
    <row r="339" spans="1:10" hidden="1" outlineLevel="1">
      <c r="A339" s="109"/>
      <c r="B339" s="75"/>
      <c r="C339" s="76"/>
      <c r="D339" s="81">
        <v>70</v>
      </c>
      <c r="E339" s="82"/>
      <c r="F339" s="77"/>
      <c r="G339" s="82"/>
      <c r="H339" s="82"/>
      <c r="I339" s="78"/>
      <c r="J339" s="19">
        <f t="shared" si="83"/>
        <v>0</v>
      </c>
    </row>
    <row r="340" spans="1:10" hidden="1" outlineLevel="1">
      <c r="A340" s="109"/>
      <c r="B340" s="75"/>
      <c r="C340" s="76"/>
      <c r="D340" s="81">
        <v>70</v>
      </c>
      <c r="E340" s="82"/>
      <c r="F340" s="77"/>
      <c r="G340" s="82"/>
      <c r="H340" s="82"/>
      <c r="I340" s="78"/>
      <c r="J340" s="19">
        <f t="shared" si="83"/>
        <v>0</v>
      </c>
    </row>
    <row r="341" spans="1:10" hidden="1" outlineLevel="1">
      <c r="A341" s="109"/>
      <c r="B341" s="75"/>
      <c r="C341" s="76"/>
      <c r="D341" s="81">
        <v>70</v>
      </c>
      <c r="E341" s="82"/>
      <c r="F341" s="77"/>
      <c r="G341" s="82"/>
      <c r="H341" s="82"/>
      <c r="I341" s="78"/>
      <c r="J341" s="19">
        <f t="shared" si="83"/>
        <v>0</v>
      </c>
    </row>
    <row r="342" spans="1:10" hidden="1" outlineLevel="1">
      <c r="A342" s="109"/>
      <c r="B342" s="75"/>
      <c r="C342" s="76"/>
      <c r="D342" s="81">
        <v>70</v>
      </c>
      <c r="E342" s="82"/>
      <c r="F342" s="77"/>
      <c r="G342" s="82"/>
      <c r="H342" s="82"/>
      <c r="I342" s="78"/>
      <c r="J342" s="19">
        <f t="shared" si="83"/>
        <v>0</v>
      </c>
    </row>
    <row r="343" spans="1:10" hidden="1" outlineLevel="1">
      <c r="A343" s="109"/>
      <c r="B343" s="75"/>
      <c r="C343" s="76"/>
      <c r="D343" s="81">
        <v>70</v>
      </c>
      <c r="E343" s="82"/>
      <c r="F343" s="77"/>
      <c r="G343" s="82"/>
      <c r="H343" s="82"/>
      <c r="I343" s="78"/>
      <c r="J343" s="19">
        <f t="shared" si="83"/>
        <v>0</v>
      </c>
    </row>
    <row r="344" spans="1:10" hidden="1" outlineLevel="1">
      <c r="A344" s="109"/>
      <c r="B344" s="75"/>
      <c r="C344" s="76"/>
      <c r="D344" s="81">
        <v>70</v>
      </c>
      <c r="E344" s="82"/>
      <c r="F344" s="77"/>
      <c r="G344" s="82"/>
      <c r="H344" s="82"/>
      <c r="I344" s="78"/>
      <c r="J344" s="19">
        <f t="shared" si="83"/>
        <v>0</v>
      </c>
    </row>
    <row r="345" spans="1:10" hidden="1" outlineLevel="1">
      <c r="A345" s="109"/>
      <c r="B345" s="75"/>
      <c r="C345" s="76"/>
      <c r="D345" s="81">
        <v>70</v>
      </c>
      <c r="E345" s="82"/>
      <c r="F345" s="77"/>
      <c r="G345" s="82"/>
      <c r="H345" s="82"/>
      <c r="I345" s="78"/>
      <c r="J345" s="19">
        <f t="shared" si="83"/>
        <v>0</v>
      </c>
    </row>
    <row r="346" spans="1:10" hidden="1" outlineLevel="1">
      <c r="A346" s="109"/>
      <c r="B346" s="75"/>
      <c r="C346" s="76"/>
      <c r="D346" s="81">
        <v>70</v>
      </c>
      <c r="E346" s="82"/>
      <c r="F346" s="77"/>
      <c r="G346" s="83" t="s">
        <v>396</v>
      </c>
      <c r="H346" s="82"/>
      <c r="I346" s="78"/>
      <c r="J346" s="19">
        <f t="shared" si="83"/>
        <v>0</v>
      </c>
    </row>
    <row r="347" spans="1:10" hidden="1" outlineLevel="1">
      <c r="A347" s="109"/>
      <c r="B347" s="75"/>
      <c r="C347" s="76"/>
      <c r="D347" s="81">
        <v>70</v>
      </c>
      <c r="E347" s="82"/>
      <c r="F347" s="77"/>
      <c r="G347" s="82"/>
      <c r="H347" s="82"/>
      <c r="I347" s="78"/>
      <c r="J347" s="19">
        <f t="shared" si="83"/>
        <v>0</v>
      </c>
    </row>
    <row r="348" spans="1:10" hidden="1" outlineLevel="1">
      <c r="A348" s="109"/>
      <c r="B348" s="75"/>
      <c r="C348" s="76"/>
      <c r="D348" s="81">
        <v>70</v>
      </c>
      <c r="E348" s="82"/>
      <c r="F348" s="77"/>
      <c r="G348" s="82"/>
      <c r="H348" s="82"/>
      <c r="I348" s="78"/>
      <c r="J348" s="19">
        <f t="shared" si="83"/>
        <v>0</v>
      </c>
    </row>
    <row r="349" spans="1:10" hidden="1" outlineLevel="1">
      <c r="A349" s="109"/>
      <c r="B349" s="75"/>
      <c r="C349" s="76"/>
      <c r="D349" s="81">
        <v>70</v>
      </c>
      <c r="E349" s="82"/>
      <c r="F349" s="77"/>
      <c r="G349" s="82"/>
      <c r="H349" s="82"/>
      <c r="I349" s="78"/>
      <c r="J349" s="19">
        <f t="shared" si="83"/>
        <v>0</v>
      </c>
    </row>
    <row r="350" spans="1:10" hidden="1" outlineLevel="1">
      <c r="A350" s="109"/>
      <c r="B350" s="75"/>
      <c r="C350" s="76"/>
      <c r="D350" s="81">
        <v>70</v>
      </c>
      <c r="E350" s="82"/>
      <c r="F350" s="77"/>
      <c r="G350" s="82"/>
      <c r="H350" s="82"/>
      <c r="I350" s="78"/>
      <c r="J350" s="19">
        <f t="shared" si="83"/>
        <v>0</v>
      </c>
    </row>
    <row r="351" spans="1:10" hidden="1" outlineLevel="1">
      <c r="A351" s="109"/>
      <c r="B351" s="79"/>
      <c r="C351" s="80"/>
      <c r="D351" s="81"/>
      <c r="E351" s="82"/>
      <c r="F351" s="77"/>
      <c r="G351" s="82"/>
      <c r="H351" s="82"/>
      <c r="I351" s="78"/>
      <c r="J351" s="19">
        <f t="shared" si="83"/>
        <v>0</v>
      </c>
    </row>
    <row r="352" spans="1:10" hidden="1" outlineLevel="1">
      <c r="A352" s="109"/>
      <c r="B352" s="79"/>
      <c r="C352" s="80"/>
      <c r="D352" s="81">
        <v>70</v>
      </c>
      <c r="E352" s="82"/>
      <c r="F352" s="77">
        <v>0</v>
      </c>
      <c r="G352" s="82"/>
      <c r="H352" s="82"/>
      <c r="I352" s="78">
        <v>0</v>
      </c>
      <c r="J352" s="19">
        <f t="shared" ref="J352:J358" si="84">D352*F352*I352</f>
        <v>0</v>
      </c>
    </row>
    <row r="353" spans="1:10" hidden="1" outlineLevel="1">
      <c r="A353" s="109"/>
      <c r="B353" s="79"/>
      <c r="C353" s="79"/>
      <c r="D353" s="81">
        <v>70</v>
      </c>
      <c r="E353" s="82"/>
      <c r="F353" s="77">
        <v>0</v>
      </c>
      <c r="G353" s="82"/>
      <c r="H353" s="82"/>
      <c r="I353" s="78">
        <v>0</v>
      </c>
      <c r="J353" s="19">
        <f t="shared" si="84"/>
        <v>0</v>
      </c>
    </row>
    <row r="354" spans="1:10" hidden="1" outlineLevel="1">
      <c r="A354" s="109"/>
      <c r="B354" s="79"/>
      <c r="C354" s="79"/>
      <c r="D354" s="81">
        <v>70</v>
      </c>
      <c r="E354" s="82"/>
      <c r="F354" s="77">
        <v>0</v>
      </c>
      <c r="G354" s="82"/>
      <c r="H354" s="82"/>
      <c r="I354" s="78">
        <v>0</v>
      </c>
      <c r="J354" s="19">
        <f t="shared" si="84"/>
        <v>0</v>
      </c>
    </row>
    <row r="355" spans="1:10" hidden="1" outlineLevel="1">
      <c r="A355" s="109"/>
      <c r="B355" s="79"/>
      <c r="C355" s="79"/>
      <c r="D355" s="81">
        <v>70</v>
      </c>
      <c r="E355" s="82"/>
      <c r="F355" s="77">
        <v>0</v>
      </c>
      <c r="G355" s="82"/>
      <c r="H355" s="82"/>
      <c r="I355" s="78">
        <v>0</v>
      </c>
      <c r="J355" s="19">
        <f t="shared" si="84"/>
        <v>0</v>
      </c>
    </row>
    <row r="356" spans="1:10" hidden="1" outlineLevel="1">
      <c r="A356" s="109"/>
      <c r="B356" s="79"/>
      <c r="C356" s="79"/>
      <c r="D356" s="81">
        <v>70</v>
      </c>
      <c r="E356" s="82"/>
      <c r="F356" s="77">
        <v>0</v>
      </c>
      <c r="G356" s="82"/>
      <c r="H356" s="82"/>
      <c r="I356" s="78">
        <v>0</v>
      </c>
      <c r="J356" s="19">
        <f t="shared" si="84"/>
        <v>0</v>
      </c>
    </row>
    <row r="357" spans="1:10" hidden="1" outlineLevel="1">
      <c r="A357" s="109"/>
      <c r="B357" s="79"/>
      <c r="C357" s="79"/>
      <c r="D357" s="81">
        <v>70</v>
      </c>
      <c r="E357" s="82"/>
      <c r="F357" s="77">
        <v>0</v>
      </c>
      <c r="G357" s="82"/>
      <c r="H357" s="82"/>
      <c r="I357" s="78">
        <v>0</v>
      </c>
      <c r="J357" s="19">
        <f t="shared" si="84"/>
        <v>0</v>
      </c>
    </row>
    <row r="358" spans="1:10" hidden="1" outlineLevel="1">
      <c r="A358" s="109"/>
      <c r="B358" s="79"/>
      <c r="C358" s="79"/>
      <c r="D358" s="81">
        <v>70</v>
      </c>
      <c r="E358" s="82"/>
      <c r="F358" s="77">
        <v>0</v>
      </c>
      <c r="G358" s="82"/>
      <c r="H358" s="82"/>
      <c r="I358" s="78">
        <v>0</v>
      </c>
      <c r="J358" s="19">
        <f t="shared" si="84"/>
        <v>0</v>
      </c>
    </row>
    <row r="359" spans="1:10">
      <c r="A359" s="110"/>
      <c r="B359" s="220" t="s">
        <v>4458</v>
      </c>
      <c r="C359" s="221"/>
      <c r="D359" s="221"/>
      <c r="E359" s="221"/>
      <c r="F359" s="221"/>
      <c r="G359" s="221"/>
      <c r="H359" s="221"/>
      <c r="I359" s="222"/>
      <c r="J359" s="84">
        <f>SUM(J334:J358)</f>
        <v>1452.5</v>
      </c>
    </row>
    <row r="360" spans="1:10">
      <c r="A360" s="105"/>
      <c r="B360" s="188" t="s">
        <v>4456</v>
      </c>
      <c r="C360" s="187"/>
      <c r="D360" s="187"/>
      <c r="E360" s="187"/>
      <c r="F360" s="187"/>
      <c r="G360" s="187"/>
      <c r="H360" s="187"/>
      <c r="I360" s="187"/>
      <c r="J360" s="187"/>
    </row>
    <row r="361" spans="1:10" outlineLevel="1">
      <c r="A361" s="105"/>
      <c r="B361" s="45" t="s">
        <v>397</v>
      </c>
      <c r="C361" s="45" t="s">
        <v>4457</v>
      </c>
      <c r="D361" s="48" t="s">
        <v>4</v>
      </c>
      <c r="E361" s="46"/>
      <c r="F361" s="46"/>
      <c r="G361" s="46"/>
      <c r="H361" s="46"/>
      <c r="I361" s="48" t="s">
        <v>395</v>
      </c>
      <c r="J361" s="96" t="s">
        <v>13</v>
      </c>
    </row>
    <row r="362" spans="1:10" outlineLevel="1">
      <c r="A362" s="105"/>
      <c r="B362" s="8">
        <f>B334</f>
        <v>44782</v>
      </c>
      <c r="C362" s="76" t="str">
        <f>C334</f>
        <v>RWC</v>
      </c>
      <c r="D362" s="15">
        <v>100</v>
      </c>
      <c r="E362" s="5"/>
      <c r="F362" s="16"/>
      <c r="G362" s="5"/>
      <c r="H362" s="5"/>
      <c r="I362" s="22">
        <f>I334</f>
        <v>1</v>
      </c>
      <c r="J362" s="19">
        <f t="shared" ref="J362:J385" si="85">SUM(D362*I362)</f>
        <v>100</v>
      </c>
    </row>
    <row r="363" spans="1:10" outlineLevel="1">
      <c r="A363" s="105"/>
      <c r="B363" s="8">
        <f t="shared" ref="B363:C371" si="86">B335</f>
        <v>44782</v>
      </c>
      <c r="C363" s="76" t="str">
        <f t="shared" si="86"/>
        <v>AM</v>
      </c>
      <c r="D363" s="15">
        <v>100</v>
      </c>
      <c r="E363" s="5"/>
      <c r="F363" s="16"/>
      <c r="G363" s="5"/>
      <c r="H363" s="5"/>
      <c r="I363" s="22">
        <f t="shared" ref="I363:I380" si="87">I335</f>
        <v>1</v>
      </c>
      <c r="J363" s="19">
        <f t="shared" si="85"/>
        <v>100</v>
      </c>
    </row>
    <row r="364" spans="1:10" outlineLevel="1">
      <c r="A364" s="105"/>
      <c r="B364" s="8">
        <f t="shared" si="86"/>
        <v>44783</v>
      </c>
      <c r="C364" s="76" t="str">
        <f t="shared" si="86"/>
        <v>DMR/TH</v>
      </c>
      <c r="D364" s="15">
        <v>100</v>
      </c>
      <c r="E364" s="5"/>
      <c r="F364" s="16"/>
      <c r="G364" s="5"/>
      <c r="H364" s="5"/>
      <c r="I364" s="22">
        <f t="shared" si="87"/>
        <v>2</v>
      </c>
      <c r="J364" s="19">
        <f t="shared" si="85"/>
        <v>200</v>
      </c>
    </row>
    <row r="365" spans="1:10" hidden="1" outlineLevel="1">
      <c r="A365" s="105"/>
      <c r="B365" s="8">
        <f t="shared" si="86"/>
        <v>0</v>
      </c>
      <c r="C365" s="76">
        <f t="shared" si="86"/>
        <v>0</v>
      </c>
      <c r="D365" s="15">
        <v>100</v>
      </c>
      <c r="E365" s="5"/>
      <c r="F365" s="16"/>
      <c r="G365" s="5"/>
      <c r="H365" s="5"/>
      <c r="I365" s="22">
        <f t="shared" si="87"/>
        <v>0</v>
      </c>
      <c r="J365" s="19">
        <f t="shared" si="85"/>
        <v>0</v>
      </c>
    </row>
    <row r="366" spans="1:10" hidden="1" outlineLevel="1">
      <c r="A366" s="105"/>
      <c r="B366" s="8">
        <f t="shared" si="86"/>
        <v>0</v>
      </c>
      <c r="C366" s="76">
        <f t="shared" si="86"/>
        <v>0</v>
      </c>
      <c r="D366" s="15">
        <v>100</v>
      </c>
      <c r="E366" s="5"/>
      <c r="F366" s="51"/>
      <c r="G366" s="5"/>
      <c r="H366" s="5"/>
      <c r="I366" s="22">
        <f t="shared" si="87"/>
        <v>0</v>
      </c>
      <c r="J366" s="19">
        <f t="shared" si="85"/>
        <v>0</v>
      </c>
    </row>
    <row r="367" spans="1:10" hidden="1" outlineLevel="1">
      <c r="A367" s="105"/>
      <c r="B367" s="8">
        <f t="shared" si="86"/>
        <v>0</v>
      </c>
      <c r="C367" s="76">
        <f t="shared" si="86"/>
        <v>0</v>
      </c>
      <c r="D367" s="15">
        <v>100</v>
      </c>
      <c r="E367" s="5"/>
      <c r="F367" s="16"/>
      <c r="G367" s="5"/>
      <c r="H367" s="5"/>
      <c r="I367" s="22">
        <f t="shared" si="87"/>
        <v>0</v>
      </c>
      <c r="J367" s="19">
        <f t="shared" si="85"/>
        <v>0</v>
      </c>
    </row>
    <row r="368" spans="1:10" hidden="1" outlineLevel="1">
      <c r="A368" s="105"/>
      <c r="B368" s="8">
        <f t="shared" si="86"/>
        <v>0</v>
      </c>
      <c r="C368" s="76">
        <f t="shared" si="86"/>
        <v>0</v>
      </c>
      <c r="D368" s="15">
        <v>100</v>
      </c>
      <c r="E368" s="5"/>
      <c r="F368" s="51"/>
      <c r="G368" s="5"/>
      <c r="H368" s="5"/>
      <c r="I368" s="22">
        <f t="shared" si="87"/>
        <v>0</v>
      </c>
      <c r="J368" s="19">
        <f t="shared" si="85"/>
        <v>0</v>
      </c>
    </row>
    <row r="369" spans="1:10" hidden="1" outlineLevel="1">
      <c r="A369" s="105"/>
      <c r="B369" s="8">
        <f t="shared" si="86"/>
        <v>0</v>
      </c>
      <c r="C369" s="76">
        <f t="shared" si="86"/>
        <v>0</v>
      </c>
      <c r="D369" s="15">
        <v>100</v>
      </c>
      <c r="E369" s="5"/>
      <c r="F369" s="16"/>
      <c r="G369" s="5"/>
      <c r="H369" s="5"/>
      <c r="I369" s="22">
        <f t="shared" si="87"/>
        <v>0</v>
      </c>
      <c r="J369" s="19">
        <f t="shared" si="85"/>
        <v>0</v>
      </c>
    </row>
    <row r="370" spans="1:10" hidden="1" outlineLevel="1">
      <c r="A370" s="105"/>
      <c r="B370" s="8">
        <f t="shared" si="86"/>
        <v>0</v>
      </c>
      <c r="C370" s="76">
        <f t="shared" si="86"/>
        <v>0</v>
      </c>
      <c r="D370" s="15">
        <v>100</v>
      </c>
      <c r="E370" s="5"/>
      <c r="F370" s="16"/>
      <c r="G370" s="5"/>
      <c r="H370" s="5"/>
      <c r="I370" s="22">
        <f t="shared" si="87"/>
        <v>0</v>
      </c>
      <c r="J370" s="19">
        <f t="shared" si="85"/>
        <v>0</v>
      </c>
    </row>
    <row r="371" spans="1:10" hidden="1" outlineLevel="1">
      <c r="A371" s="105"/>
      <c r="B371" s="8">
        <f t="shared" si="86"/>
        <v>0</v>
      </c>
      <c r="C371" s="76">
        <f t="shared" si="86"/>
        <v>0</v>
      </c>
      <c r="D371" s="15">
        <v>100</v>
      </c>
      <c r="E371" s="5"/>
      <c r="F371" s="16"/>
      <c r="G371" s="5"/>
      <c r="H371" s="5"/>
      <c r="I371" s="22">
        <f t="shared" si="87"/>
        <v>0</v>
      </c>
      <c r="J371" s="19">
        <f t="shared" si="85"/>
        <v>0</v>
      </c>
    </row>
    <row r="372" spans="1:10" hidden="1" outlineLevel="1">
      <c r="A372" s="105"/>
      <c r="B372" s="8">
        <f t="shared" ref="B372:C372" si="88">B344</f>
        <v>0</v>
      </c>
      <c r="C372" s="76">
        <f t="shared" si="88"/>
        <v>0</v>
      </c>
      <c r="D372" s="15">
        <v>100</v>
      </c>
      <c r="E372" s="5"/>
      <c r="F372" s="16"/>
      <c r="G372" s="5"/>
      <c r="H372" s="5"/>
      <c r="I372" s="22">
        <f t="shared" si="87"/>
        <v>0</v>
      </c>
      <c r="J372" s="19">
        <f t="shared" si="85"/>
        <v>0</v>
      </c>
    </row>
    <row r="373" spans="1:10" hidden="1" outlineLevel="1">
      <c r="A373" s="105"/>
      <c r="B373" s="8"/>
      <c r="C373" s="76">
        <f t="shared" ref="C373:C380" si="89">C345</f>
        <v>0</v>
      </c>
      <c r="D373" s="15">
        <v>100</v>
      </c>
      <c r="E373" s="5"/>
      <c r="F373" s="51"/>
      <c r="G373" s="5"/>
      <c r="H373" s="5"/>
      <c r="I373" s="22">
        <f t="shared" si="87"/>
        <v>0</v>
      </c>
      <c r="J373" s="19">
        <f t="shared" si="85"/>
        <v>0</v>
      </c>
    </row>
    <row r="374" spans="1:10" hidden="1" outlineLevel="1">
      <c r="A374" s="105"/>
      <c r="B374" s="8"/>
      <c r="C374" s="76">
        <f t="shared" si="89"/>
        <v>0</v>
      </c>
      <c r="D374" s="15">
        <v>100</v>
      </c>
      <c r="E374" s="5"/>
      <c r="F374" s="16"/>
      <c r="G374" s="5"/>
      <c r="H374" s="5"/>
      <c r="I374" s="22">
        <f t="shared" si="87"/>
        <v>0</v>
      </c>
      <c r="J374" s="19">
        <f t="shared" si="85"/>
        <v>0</v>
      </c>
    </row>
    <row r="375" spans="1:10" hidden="1" outlineLevel="1">
      <c r="A375" s="105"/>
      <c r="B375" s="8"/>
      <c r="C375" s="76">
        <f t="shared" si="89"/>
        <v>0</v>
      </c>
      <c r="D375" s="15">
        <v>100</v>
      </c>
      <c r="E375" s="5"/>
      <c r="F375" s="51"/>
      <c r="G375" s="5"/>
      <c r="H375" s="5"/>
      <c r="I375" s="22">
        <f t="shared" si="87"/>
        <v>0</v>
      </c>
      <c r="J375" s="19">
        <f t="shared" si="85"/>
        <v>0</v>
      </c>
    </row>
    <row r="376" spans="1:10" hidden="1" outlineLevel="1">
      <c r="A376" s="105"/>
      <c r="B376" s="8"/>
      <c r="C376" s="76">
        <f t="shared" si="89"/>
        <v>0</v>
      </c>
      <c r="D376" s="15">
        <v>100</v>
      </c>
      <c r="E376" s="5"/>
      <c r="F376" s="16"/>
      <c r="G376" s="6" t="s">
        <v>396</v>
      </c>
      <c r="H376" s="5"/>
      <c r="I376" s="22">
        <f t="shared" si="87"/>
        <v>0</v>
      </c>
      <c r="J376" s="19">
        <f t="shared" si="85"/>
        <v>0</v>
      </c>
    </row>
    <row r="377" spans="1:10" hidden="1" outlineLevel="1">
      <c r="A377" s="105"/>
      <c r="B377" s="8"/>
      <c r="C377" s="76">
        <f t="shared" si="89"/>
        <v>0</v>
      </c>
      <c r="D377" s="15">
        <v>100</v>
      </c>
      <c r="E377" s="5"/>
      <c r="F377" s="51"/>
      <c r="G377" s="5"/>
      <c r="H377" s="5"/>
      <c r="I377" s="22">
        <f t="shared" si="87"/>
        <v>0</v>
      </c>
      <c r="J377" s="19">
        <f t="shared" si="85"/>
        <v>0</v>
      </c>
    </row>
    <row r="378" spans="1:10" hidden="1" outlineLevel="1">
      <c r="A378" s="105"/>
      <c r="B378" s="8"/>
      <c r="C378" s="76">
        <f t="shared" si="89"/>
        <v>0</v>
      </c>
      <c r="D378" s="15">
        <v>100</v>
      </c>
      <c r="E378" s="5"/>
      <c r="F378" s="16"/>
      <c r="G378" s="5"/>
      <c r="H378" s="5"/>
      <c r="I378" s="22">
        <f t="shared" si="87"/>
        <v>0</v>
      </c>
      <c r="J378" s="19">
        <f t="shared" si="85"/>
        <v>0</v>
      </c>
    </row>
    <row r="379" spans="1:10" hidden="1" outlineLevel="1">
      <c r="A379" s="105"/>
      <c r="B379" s="8"/>
      <c r="C379" s="76">
        <f t="shared" si="89"/>
        <v>0</v>
      </c>
      <c r="D379" s="15">
        <v>100</v>
      </c>
      <c r="E379" s="5"/>
      <c r="F379" s="51"/>
      <c r="G379" s="5"/>
      <c r="H379" s="5"/>
      <c r="I379" s="22">
        <f t="shared" si="87"/>
        <v>0</v>
      </c>
      <c r="J379" s="19">
        <f t="shared" si="85"/>
        <v>0</v>
      </c>
    </row>
    <row r="380" spans="1:10" hidden="1" outlineLevel="1">
      <c r="A380" s="105"/>
      <c r="B380" s="8"/>
      <c r="C380" s="76">
        <f t="shared" si="89"/>
        <v>0</v>
      </c>
      <c r="D380" s="15">
        <v>100</v>
      </c>
      <c r="E380" s="5"/>
      <c r="F380" s="16"/>
      <c r="G380" s="5"/>
      <c r="H380" s="5"/>
      <c r="I380" s="22">
        <f t="shared" si="87"/>
        <v>0</v>
      </c>
      <c r="J380" s="19">
        <f t="shared" si="85"/>
        <v>0</v>
      </c>
    </row>
    <row r="381" spans="1:10" hidden="1" outlineLevel="1">
      <c r="A381" s="105"/>
      <c r="B381" s="8" t="str">
        <f t="shared" ref="B381:B385" si="90">IF(B348=0,"",B348)</f>
        <v/>
      </c>
      <c r="C381" s="76">
        <f t="shared" ref="C381:C383" si="91">C348</f>
        <v>0</v>
      </c>
      <c r="D381" s="15">
        <v>100</v>
      </c>
      <c r="E381" s="5"/>
      <c r="F381" s="16"/>
      <c r="G381" s="5"/>
      <c r="H381" s="5"/>
      <c r="I381" s="22">
        <f t="shared" ref="I381:I383" si="92">I348</f>
        <v>0</v>
      </c>
      <c r="J381" s="19">
        <f t="shared" si="85"/>
        <v>0</v>
      </c>
    </row>
    <row r="382" spans="1:10" hidden="1" outlineLevel="1">
      <c r="A382" s="105"/>
      <c r="B382" s="8">
        <f t="shared" ref="B382" si="93">B354</f>
        <v>0</v>
      </c>
      <c r="C382" s="76">
        <f t="shared" si="91"/>
        <v>0</v>
      </c>
      <c r="D382" s="15">
        <v>100</v>
      </c>
      <c r="E382" s="5"/>
      <c r="F382" s="16"/>
      <c r="G382" s="5"/>
      <c r="H382" s="5"/>
      <c r="I382" s="22">
        <f t="shared" si="92"/>
        <v>0</v>
      </c>
      <c r="J382" s="19">
        <f t="shared" si="85"/>
        <v>0</v>
      </c>
    </row>
    <row r="383" spans="1:10" hidden="1" outlineLevel="1">
      <c r="A383" s="105"/>
      <c r="B383" s="8"/>
      <c r="C383" s="76">
        <f t="shared" si="91"/>
        <v>0</v>
      </c>
      <c r="D383" s="15">
        <v>100</v>
      </c>
      <c r="E383" s="5"/>
      <c r="F383" s="51"/>
      <c r="G383" s="5"/>
      <c r="H383" s="5"/>
      <c r="I383" s="22">
        <f t="shared" si="92"/>
        <v>0</v>
      </c>
      <c r="J383" s="19">
        <f t="shared" si="85"/>
        <v>0</v>
      </c>
    </row>
    <row r="384" spans="1:10" hidden="1" outlineLevel="1">
      <c r="A384" s="105"/>
      <c r="B384" s="8" t="str">
        <f t="shared" si="90"/>
        <v/>
      </c>
      <c r="C384" s="76"/>
      <c r="D384" s="15"/>
      <c r="E384" s="5"/>
      <c r="F384" s="16"/>
      <c r="G384" s="5"/>
      <c r="H384" s="5"/>
      <c r="I384" s="22"/>
      <c r="J384" s="19">
        <f t="shared" si="85"/>
        <v>0</v>
      </c>
    </row>
    <row r="385" spans="1:10" hidden="1" outlineLevel="1">
      <c r="A385" s="105"/>
      <c r="B385" s="8" t="str">
        <f t="shared" si="90"/>
        <v/>
      </c>
      <c r="C385" s="76"/>
      <c r="D385" s="15"/>
      <c r="E385" s="5"/>
      <c r="F385" s="16"/>
      <c r="G385" s="5"/>
      <c r="H385" s="5"/>
      <c r="I385" s="22"/>
      <c r="J385" s="19">
        <f t="shared" si="85"/>
        <v>0</v>
      </c>
    </row>
    <row r="386" spans="1:10" ht="14" customHeight="1">
      <c r="A386" s="105"/>
      <c r="B386" s="217" t="s">
        <v>4455</v>
      </c>
      <c r="C386" s="218"/>
      <c r="D386" s="218"/>
      <c r="E386" s="218"/>
      <c r="F386" s="218"/>
      <c r="G386" s="218"/>
      <c r="H386" s="219"/>
      <c r="I386" s="95">
        <f>SUM(I363:I385)</f>
        <v>3</v>
      </c>
      <c r="J386" s="94">
        <f>SUM(J362:J385)</f>
        <v>400</v>
      </c>
    </row>
    <row r="387" spans="1:10" ht="10" customHeight="1">
      <c r="A387" s="105"/>
      <c r="B387" s="214" t="s">
        <v>4454</v>
      </c>
      <c r="C387" s="215"/>
      <c r="D387" s="215"/>
      <c r="E387" s="215"/>
      <c r="F387" s="215"/>
      <c r="G387" s="215"/>
      <c r="H387" s="215"/>
      <c r="I387" s="215"/>
      <c r="J387" s="216"/>
    </row>
    <row r="388" spans="1:10" hidden="1" outlineLevel="1">
      <c r="A388" s="105"/>
      <c r="B388" s="8" t="e">
        <f>IF(#REF!=0," ",#REF!)</f>
        <v>#REF!</v>
      </c>
      <c r="C388" s="73" t="e">
        <f>IF(#REF!=0," ",#REF!)</f>
        <v>#REF!</v>
      </c>
      <c r="D388" s="15">
        <v>100</v>
      </c>
      <c r="E388" s="5"/>
      <c r="F388" s="51"/>
      <c r="G388" s="5"/>
      <c r="H388" s="5"/>
      <c r="I388" s="50" t="e">
        <f>IF(#REF!=0," ",#REF!)</f>
        <v>#REF!</v>
      </c>
      <c r="J388" s="71" t="str">
        <f>IFERROR(SUM(D388*I388)," ")</f>
        <v xml:space="preserve"> </v>
      </c>
    </row>
    <row r="389" spans="1:10" hidden="1" outlineLevel="1">
      <c r="A389" s="105"/>
      <c r="B389" s="8" t="e">
        <f>IF(#REF!=0," ",#REF!)</f>
        <v>#REF!</v>
      </c>
      <c r="C389" s="73" t="e">
        <f>IF(#REF!=0," ",#REF!)</f>
        <v>#REF!</v>
      </c>
      <c r="D389" s="15">
        <v>100</v>
      </c>
      <c r="E389" s="5"/>
      <c r="F389" s="51"/>
      <c r="G389" s="5"/>
      <c r="H389" s="5"/>
      <c r="I389" s="50" t="e">
        <f>IF(#REF!=0," ",#REF!)</f>
        <v>#REF!</v>
      </c>
      <c r="J389" s="71" t="str">
        <f t="shared" ref="J389:J394" si="94">IFERROR(SUM(D389*I389)," ")</f>
        <v xml:space="preserve"> </v>
      </c>
    </row>
    <row r="390" spans="1:10" hidden="1" outlineLevel="1">
      <c r="A390" s="105"/>
      <c r="B390" s="8" t="e">
        <f>IF(#REF!=0," ",#REF!)</f>
        <v>#REF!</v>
      </c>
      <c r="C390" s="73" t="e">
        <f>IF(#REF!=0," ",#REF!)</f>
        <v>#REF!</v>
      </c>
      <c r="D390" s="85">
        <v>100</v>
      </c>
      <c r="E390" s="86"/>
      <c r="F390" s="87"/>
      <c r="G390" s="88" t="s">
        <v>396</v>
      </c>
      <c r="H390" s="86"/>
      <c r="I390" s="50" t="e">
        <f>IF(#REF!=0," ",#REF!)</f>
        <v>#REF!</v>
      </c>
      <c r="J390" s="71" t="str">
        <f t="shared" si="94"/>
        <v xml:space="preserve"> </v>
      </c>
    </row>
    <row r="391" spans="1:10" hidden="1" outlineLevel="1">
      <c r="A391" s="105"/>
      <c r="B391" s="8" t="e">
        <f>IF(#REF!=0," ",#REF!)</f>
        <v>#REF!</v>
      </c>
      <c r="C391" s="73" t="e">
        <f>IF(#REF!=0," ",#REF!)</f>
        <v>#REF!</v>
      </c>
      <c r="D391" s="15">
        <v>100</v>
      </c>
      <c r="E391" s="5"/>
      <c r="F391" s="16"/>
      <c r="G391" s="5"/>
      <c r="H391" s="5"/>
      <c r="I391" s="50" t="e">
        <f>IF(#REF!=0," ",#REF!)</f>
        <v>#REF!</v>
      </c>
      <c r="J391" s="71" t="str">
        <f t="shared" si="94"/>
        <v xml:space="preserve"> </v>
      </c>
    </row>
    <row r="392" spans="1:10" hidden="1" outlineLevel="1">
      <c r="A392" s="105"/>
      <c r="B392" s="8" t="e">
        <f>IF(#REF!=0," ",#REF!)</f>
        <v>#REF!</v>
      </c>
      <c r="C392" s="73" t="e">
        <f>IF(#REF!=0," ",#REF!)</f>
        <v>#REF!</v>
      </c>
      <c r="D392" s="15">
        <v>100</v>
      </c>
      <c r="E392" s="5"/>
      <c r="F392" s="16"/>
      <c r="G392" s="5"/>
      <c r="H392" s="5"/>
      <c r="I392" s="50" t="e">
        <f>IF(#REF!=0," ",#REF!)</f>
        <v>#REF!</v>
      </c>
      <c r="J392" s="71" t="str">
        <f t="shared" si="94"/>
        <v xml:space="preserve"> </v>
      </c>
    </row>
    <row r="393" spans="1:10" hidden="1" outlineLevel="1">
      <c r="A393" s="105"/>
      <c r="B393" s="8" t="e">
        <f>IF(#REF!=0," ",#REF!)</f>
        <v>#REF!</v>
      </c>
      <c r="C393" s="73" t="e">
        <f>IF(#REF!=0," ",#REF!)</f>
        <v>#REF!</v>
      </c>
      <c r="D393" s="15">
        <v>100</v>
      </c>
      <c r="E393" s="5"/>
      <c r="F393" s="16"/>
      <c r="G393" s="5"/>
      <c r="H393" s="5"/>
      <c r="I393" s="50" t="e">
        <f>IF(#REF!=0," ",#REF!)</f>
        <v>#REF!</v>
      </c>
      <c r="J393" s="71" t="str">
        <f t="shared" si="94"/>
        <v xml:space="preserve"> </v>
      </c>
    </row>
    <row r="394" spans="1:10" hidden="1" outlineLevel="1">
      <c r="A394" s="105"/>
      <c r="B394" s="8" t="e">
        <f>IF(#REF!=0," ",#REF!)</f>
        <v>#REF!</v>
      </c>
      <c r="C394" s="73" t="e">
        <f>IF(#REF!=0," ",#REF!)</f>
        <v>#REF!</v>
      </c>
      <c r="D394" s="15">
        <v>100</v>
      </c>
      <c r="E394" s="5"/>
      <c r="F394" s="51"/>
      <c r="G394" s="5"/>
      <c r="H394" s="5"/>
      <c r="I394" s="50" t="e">
        <f>IF(#REF!=0," ",#REF!)</f>
        <v>#REF!</v>
      </c>
      <c r="J394" s="71" t="str">
        <f t="shared" si="94"/>
        <v xml:space="preserve"> </v>
      </c>
    </row>
    <row r="395" spans="1:10" collapsed="1">
      <c r="A395" s="105"/>
      <c r="B395" s="211" t="s">
        <v>4449</v>
      </c>
      <c r="C395" s="212"/>
      <c r="D395" s="212"/>
      <c r="E395" s="212"/>
      <c r="F395" s="212"/>
      <c r="G395" s="212"/>
      <c r="H395" s="212"/>
      <c r="I395" s="213"/>
      <c r="J395" s="93">
        <f>SUM(J388:J394)</f>
        <v>0</v>
      </c>
    </row>
    <row r="396" spans="1:10">
      <c r="A396" s="105"/>
      <c r="B396" s="185" t="s">
        <v>4450</v>
      </c>
      <c r="C396" s="140"/>
      <c r="D396" s="140"/>
      <c r="E396" s="140"/>
      <c r="F396" s="140"/>
      <c r="G396" s="140"/>
      <c r="H396" s="140"/>
      <c r="I396" s="140"/>
      <c r="J396" s="49">
        <f>SUM(J387+J395+J386)</f>
        <v>400</v>
      </c>
    </row>
    <row r="397" spans="1:10" hidden="1">
      <c r="A397" s="105"/>
      <c r="B397" s="131" t="s">
        <v>4468</v>
      </c>
      <c r="C397" s="132"/>
      <c r="D397" s="132"/>
      <c r="E397" s="132"/>
      <c r="F397" s="132"/>
      <c r="G397" s="132"/>
      <c r="H397" s="132"/>
      <c r="I397" s="132"/>
      <c r="J397" s="133"/>
    </row>
    <row r="398" spans="1:10" hidden="1" outlineLevel="1">
      <c r="A398" s="105"/>
      <c r="B398" s="10" t="s">
        <v>398</v>
      </c>
      <c r="C398" s="10" t="s">
        <v>21</v>
      </c>
      <c r="D398" s="10" t="s">
        <v>9</v>
      </c>
      <c r="E398" s="12"/>
      <c r="F398" s="10" t="s">
        <v>6</v>
      </c>
      <c r="G398" s="10" t="s">
        <v>5</v>
      </c>
      <c r="H398" s="12"/>
      <c r="I398" s="13" t="s">
        <v>2</v>
      </c>
      <c r="J398" s="10" t="s">
        <v>13</v>
      </c>
    </row>
    <row r="399" spans="1:10" hidden="1" outlineLevel="1">
      <c r="A399" s="105"/>
      <c r="B399" s="70"/>
      <c r="C399" s="70" t="str">
        <f>IFERROR(VLOOKUP(B399,EQUIP!A2:B11,2,FALSE)," ")</f>
        <v xml:space="preserve"> </v>
      </c>
      <c r="F399" s="44"/>
      <c r="G399" s="15"/>
      <c r="H399" s="18"/>
      <c r="I399" s="22"/>
      <c r="J399" s="19">
        <f>D404+F399*I399</f>
        <v>0</v>
      </c>
    </row>
    <row r="400" spans="1:10" hidden="1" outlineLevel="1">
      <c r="A400" s="105"/>
      <c r="B400" s="70"/>
      <c r="C400" s="70" t="str">
        <f>IFERROR(VLOOKUP(B400,EQUIP!A3:B12,2,FALSE)," ")</f>
        <v xml:space="preserve"> </v>
      </c>
      <c r="D400" s="19"/>
      <c r="E400" s="18"/>
      <c r="F400" s="44"/>
      <c r="G400" s="15"/>
      <c r="H400" s="18"/>
      <c r="I400" s="22"/>
      <c r="J400" s="19">
        <f t="shared" ref="J400:J403" si="95">D400+F400*I400</f>
        <v>0</v>
      </c>
    </row>
    <row r="401" spans="1:10" hidden="1" outlineLevel="1">
      <c r="A401" s="105"/>
      <c r="B401" s="70"/>
      <c r="C401" s="70" t="str">
        <f>IFERROR(VLOOKUP(B401,EQUIP!A4:B13,2,FALSE)," ")</f>
        <v xml:space="preserve"> </v>
      </c>
      <c r="D401" s="19"/>
      <c r="E401" s="18"/>
      <c r="F401" s="44"/>
      <c r="G401" s="15"/>
      <c r="H401" s="18"/>
      <c r="I401" s="22"/>
      <c r="J401" s="19">
        <f t="shared" si="95"/>
        <v>0</v>
      </c>
    </row>
    <row r="402" spans="1:10" hidden="1" outlineLevel="1">
      <c r="A402" s="105"/>
      <c r="B402" s="70"/>
      <c r="C402" s="70" t="str">
        <f>IFERROR(VLOOKUP(B402,EQUIP!A5:B14,2,FALSE)," ")</f>
        <v xml:space="preserve"> </v>
      </c>
      <c r="D402" s="19"/>
      <c r="E402" s="18"/>
      <c r="F402" s="44"/>
      <c r="G402" s="15"/>
      <c r="H402" s="18"/>
      <c r="I402" s="22"/>
      <c r="J402" s="19">
        <f t="shared" si="95"/>
        <v>0</v>
      </c>
    </row>
    <row r="403" spans="1:10" hidden="1" outlineLevel="1">
      <c r="A403" s="105"/>
      <c r="B403" s="70"/>
      <c r="C403" s="70" t="str">
        <f>IFERROR(VLOOKUP(B403,EQUIP!A6:B15,2,FALSE)," ")</f>
        <v xml:space="preserve"> </v>
      </c>
      <c r="D403" s="19"/>
      <c r="E403" s="18"/>
      <c r="F403" s="44"/>
      <c r="G403" s="15"/>
      <c r="H403" s="18"/>
      <c r="I403" s="22"/>
      <c r="J403" s="19">
        <f t="shared" si="95"/>
        <v>0</v>
      </c>
    </row>
    <row r="404" spans="1:10" hidden="1" outlineLevel="1">
      <c r="A404" s="105"/>
      <c r="B404" s="70"/>
      <c r="C404" s="70" t="str">
        <f>IFERROR(VLOOKUP(B404,EQUIP!A7:B16,2,FALSE)," ")</f>
        <v xml:space="preserve"> </v>
      </c>
      <c r="D404" s="19"/>
      <c r="E404" s="18"/>
      <c r="F404" s="44"/>
      <c r="G404" s="15"/>
      <c r="H404" s="18"/>
      <c r="I404" s="22"/>
      <c r="J404" s="19"/>
    </row>
    <row r="405" spans="1:10" hidden="1" collapsed="1">
      <c r="A405" s="105"/>
      <c r="B405" s="156"/>
      <c r="C405" s="157"/>
      <c r="D405" s="157"/>
      <c r="E405" s="157"/>
      <c r="F405" s="157"/>
      <c r="G405" s="145" t="s">
        <v>4451</v>
      </c>
      <c r="H405" s="145"/>
      <c r="I405" s="158"/>
      <c r="J405" s="89">
        <f>SUM(J398:J404)</f>
        <v>0</v>
      </c>
    </row>
    <row r="406" spans="1:10" ht="9" hidden="1" customHeight="1">
      <c r="A406" s="105"/>
      <c r="B406" s="159" t="s">
        <v>4452</v>
      </c>
      <c r="C406" s="160"/>
      <c r="D406" s="160"/>
      <c r="E406" s="160"/>
      <c r="F406" s="160"/>
      <c r="G406" s="160"/>
      <c r="H406" s="160"/>
      <c r="I406" s="160"/>
      <c r="J406" s="161"/>
    </row>
    <row r="407" spans="1:10" hidden="1" outlineLevel="1">
      <c r="A407" s="105"/>
      <c r="B407" s="8"/>
      <c r="C407" s="5"/>
      <c r="D407" s="15">
        <v>0</v>
      </c>
      <c r="E407" s="74">
        <f t="shared" ref="E407:E410" si="96">SUM(D407*20%)</f>
        <v>0</v>
      </c>
      <c r="F407" s="5"/>
      <c r="G407" s="5"/>
      <c r="H407" s="5"/>
      <c r="I407" s="23"/>
      <c r="J407" s="19">
        <f>D407+E407</f>
        <v>0</v>
      </c>
    </row>
    <row r="408" spans="1:10" ht="12" hidden="1" customHeight="1" outlineLevel="1">
      <c r="A408" s="105"/>
      <c r="B408" s="8"/>
      <c r="C408" s="5"/>
      <c r="D408" s="15">
        <v>0</v>
      </c>
      <c r="E408" s="74">
        <f t="shared" si="96"/>
        <v>0</v>
      </c>
      <c r="F408" s="5"/>
      <c r="G408" s="5"/>
      <c r="H408" s="5"/>
      <c r="I408" s="23"/>
      <c r="J408" s="19">
        <f t="shared" ref="J408:J410" si="97">D408+E408</f>
        <v>0</v>
      </c>
    </row>
    <row r="409" spans="1:10" ht="12" hidden="1" customHeight="1" outlineLevel="1">
      <c r="A409" s="105"/>
      <c r="B409" s="8"/>
      <c r="C409" s="5"/>
      <c r="D409" s="15">
        <v>0</v>
      </c>
      <c r="E409" s="74">
        <f t="shared" si="96"/>
        <v>0</v>
      </c>
      <c r="F409" s="5"/>
      <c r="G409" s="5"/>
      <c r="H409" s="5"/>
      <c r="I409" s="23"/>
      <c r="J409" s="19">
        <f t="shared" si="97"/>
        <v>0</v>
      </c>
    </row>
    <row r="410" spans="1:10" hidden="1" outlineLevel="1">
      <c r="A410" s="105"/>
      <c r="B410" s="8"/>
      <c r="C410" s="5"/>
      <c r="D410" s="15">
        <v>0</v>
      </c>
      <c r="E410" s="74">
        <f t="shared" si="96"/>
        <v>0</v>
      </c>
      <c r="F410" s="5"/>
      <c r="G410" s="5"/>
      <c r="H410" s="5"/>
      <c r="I410" s="23"/>
      <c r="J410" s="19">
        <f t="shared" si="97"/>
        <v>0</v>
      </c>
    </row>
    <row r="411" spans="1:10" hidden="1" collapsed="1">
      <c r="A411" s="105"/>
      <c r="B411" s="154"/>
      <c r="C411" s="155"/>
      <c r="D411" s="155"/>
      <c r="E411" s="155"/>
      <c r="F411" s="155"/>
      <c r="G411" s="152" t="s">
        <v>4453</v>
      </c>
      <c r="H411" s="152"/>
      <c r="I411" s="153"/>
      <c r="J411" s="91">
        <f>SUM(J407:J410)</f>
        <v>0</v>
      </c>
    </row>
    <row r="412" spans="1:10" ht="10" hidden="1" customHeight="1">
      <c r="A412" s="105"/>
      <c r="B412" s="141" t="s">
        <v>4439</v>
      </c>
      <c r="C412" s="142"/>
      <c r="D412" s="142"/>
      <c r="E412" s="142"/>
      <c r="F412" s="142"/>
      <c r="G412" s="142"/>
      <c r="H412" s="142"/>
      <c r="I412" s="142"/>
      <c r="J412" s="143"/>
    </row>
    <row r="413" spans="1:10" hidden="1" outlineLevel="1">
      <c r="A413" s="105"/>
      <c r="B413" s="8"/>
      <c r="C413" s="5"/>
      <c r="D413" s="15">
        <v>0</v>
      </c>
      <c r="E413" s="74">
        <f t="shared" ref="E413:E422" si="98">SUM(D413*20%)</f>
        <v>0</v>
      </c>
      <c r="F413" s="5"/>
      <c r="G413" s="5"/>
      <c r="H413" s="5"/>
      <c r="I413" s="23"/>
      <c r="J413" s="19">
        <f t="shared" ref="J413:J422" si="99">D413+E413</f>
        <v>0</v>
      </c>
    </row>
    <row r="414" spans="1:10" hidden="1" outlineLevel="1">
      <c r="A414" s="105"/>
      <c r="B414" s="8"/>
      <c r="C414" s="5"/>
      <c r="D414" s="15">
        <v>0</v>
      </c>
      <c r="E414" s="74">
        <f t="shared" si="98"/>
        <v>0</v>
      </c>
      <c r="F414" s="5"/>
      <c r="G414" s="5"/>
      <c r="H414" s="5"/>
      <c r="I414" s="23"/>
      <c r="J414" s="19">
        <f t="shared" si="99"/>
        <v>0</v>
      </c>
    </row>
    <row r="415" spans="1:10" hidden="1" outlineLevel="1">
      <c r="A415" s="105"/>
      <c r="B415" s="8"/>
      <c r="C415" s="5"/>
      <c r="D415" s="15">
        <v>0</v>
      </c>
      <c r="E415" s="74">
        <f t="shared" si="98"/>
        <v>0</v>
      </c>
      <c r="F415" s="5"/>
      <c r="G415" s="5"/>
      <c r="H415" s="5"/>
      <c r="I415" s="23"/>
      <c r="J415" s="19">
        <f t="shared" si="99"/>
        <v>0</v>
      </c>
    </row>
    <row r="416" spans="1:10" hidden="1" outlineLevel="1">
      <c r="A416" s="105"/>
      <c r="B416" s="8"/>
      <c r="C416" s="5"/>
      <c r="D416" s="15">
        <v>0</v>
      </c>
      <c r="E416" s="74">
        <f t="shared" si="98"/>
        <v>0</v>
      </c>
      <c r="F416" s="5"/>
      <c r="G416" s="5"/>
      <c r="H416" s="5"/>
      <c r="I416" s="23"/>
      <c r="J416" s="19">
        <f t="shared" si="99"/>
        <v>0</v>
      </c>
    </row>
    <row r="417" spans="1:10" hidden="1" outlineLevel="1">
      <c r="A417" s="105"/>
      <c r="B417" s="8"/>
      <c r="C417" s="5"/>
      <c r="D417" s="15">
        <v>0</v>
      </c>
      <c r="E417" s="74">
        <f t="shared" si="98"/>
        <v>0</v>
      </c>
      <c r="F417" s="5"/>
      <c r="G417" s="5"/>
      <c r="H417" s="5"/>
      <c r="I417" s="23"/>
      <c r="J417" s="19">
        <f t="shared" si="99"/>
        <v>0</v>
      </c>
    </row>
    <row r="418" spans="1:10" hidden="1" outlineLevel="1">
      <c r="A418" s="105"/>
      <c r="B418" s="8"/>
      <c r="C418" s="5"/>
      <c r="D418" s="15">
        <v>0</v>
      </c>
      <c r="E418" s="74">
        <f t="shared" si="98"/>
        <v>0</v>
      </c>
      <c r="F418" s="5"/>
      <c r="G418" s="5"/>
      <c r="H418" s="5"/>
      <c r="I418" s="23"/>
      <c r="J418" s="19">
        <f t="shared" si="99"/>
        <v>0</v>
      </c>
    </row>
    <row r="419" spans="1:10" hidden="1" outlineLevel="1">
      <c r="A419" s="105"/>
      <c r="B419" s="8"/>
      <c r="C419" s="5"/>
      <c r="D419" s="15">
        <v>0</v>
      </c>
      <c r="E419" s="74">
        <f t="shared" si="98"/>
        <v>0</v>
      </c>
      <c r="F419" s="5"/>
      <c r="G419" s="5"/>
      <c r="H419" s="5"/>
      <c r="I419" s="23"/>
      <c r="J419" s="19">
        <f t="shared" si="99"/>
        <v>0</v>
      </c>
    </row>
    <row r="420" spans="1:10" hidden="1" outlineLevel="1">
      <c r="A420" s="105"/>
      <c r="B420" s="8"/>
      <c r="C420" s="5"/>
      <c r="D420" s="15">
        <v>0</v>
      </c>
      <c r="E420" s="74">
        <f t="shared" si="98"/>
        <v>0</v>
      </c>
      <c r="F420" s="5"/>
      <c r="G420" s="5"/>
      <c r="H420" s="5"/>
      <c r="I420" s="23"/>
      <c r="J420" s="19">
        <f t="shared" si="99"/>
        <v>0</v>
      </c>
    </row>
    <row r="421" spans="1:10" hidden="1" outlineLevel="1">
      <c r="A421" s="105"/>
      <c r="B421" s="8"/>
      <c r="C421" s="5"/>
      <c r="D421" s="15">
        <v>0</v>
      </c>
      <c r="E421" s="74">
        <f t="shared" si="98"/>
        <v>0</v>
      </c>
      <c r="F421" s="5"/>
      <c r="G421" s="5"/>
      <c r="H421" s="5"/>
      <c r="I421" s="23"/>
      <c r="J421" s="19">
        <f t="shared" si="99"/>
        <v>0</v>
      </c>
    </row>
    <row r="422" spans="1:10" hidden="1" outlineLevel="1">
      <c r="A422" s="105"/>
      <c r="B422" s="8"/>
      <c r="C422" s="5"/>
      <c r="D422" s="15">
        <v>0</v>
      </c>
      <c r="E422" s="74">
        <f t="shared" si="98"/>
        <v>0</v>
      </c>
      <c r="F422" s="5"/>
      <c r="G422" s="5"/>
      <c r="H422" s="5"/>
      <c r="I422" s="23"/>
      <c r="J422" s="19">
        <f t="shared" si="99"/>
        <v>0</v>
      </c>
    </row>
    <row r="423" spans="1:10" hidden="1" outlineLevel="1">
      <c r="A423" s="105"/>
      <c r="B423" s="8"/>
      <c r="C423" s="5"/>
      <c r="D423" s="15">
        <v>0</v>
      </c>
      <c r="E423" s="74">
        <f t="shared" ref="E423:E426" si="100">SUM(D423*20%)</f>
        <v>0</v>
      </c>
      <c r="F423" s="5"/>
      <c r="G423" s="5"/>
      <c r="H423" s="5"/>
      <c r="I423" s="23"/>
      <c r="J423" s="19">
        <f t="shared" ref="J423:J424" si="101">D423+E423</f>
        <v>0</v>
      </c>
    </row>
    <row r="424" spans="1:10" hidden="1" outlineLevel="1">
      <c r="A424" s="105"/>
      <c r="B424" s="8"/>
      <c r="C424" s="5"/>
      <c r="D424" s="15">
        <v>0</v>
      </c>
      <c r="E424" s="74">
        <f t="shared" si="100"/>
        <v>0</v>
      </c>
      <c r="F424" s="5"/>
      <c r="G424" s="5"/>
      <c r="H424" s="5"/>
      <c r="I424" s="23"/>
      <c r="J424" s="19">
        <f t="shared" si="101"/>
        <v>0</v>
      </c>
    </row>
    <row r="425" spans="1:10" hidden="1" outlineLevel="1">
      <c r="A425" s="105"/>
      <c r="B425" s="8"/>
      <c r="C425" s="5"/>
      <c r="D425" s="15">
        <v>0</v>
      </c>
      <c r="E425" s="74">
        <f t="shared" si="100"/>
        <v>0</v>
      </c>
      <c r="F425" s="5"/>
      <c r="G425" s="5"/>
      <c r="H425" s="5"/>
      <c r="I425" s="23"/>
      <c r="J425" s="19">
        <f t="shared" ref="J425:J426" si="102">D425+E425</f>
        <v>0</v>
      </c>
    </row>
    <row r="426" spans="1:10" hidden="1" outlineLevel="1">
      <c r="A426" s="105"/>
      <c r="B426" s="8"/>
      <c r="C426" s="5"/>
      <c r="D426" s="15">
        <v>0</v>
      </c>
      <c r="E426" s="74">
        <f t="shared" si="100"/>
        <v>0</v>
      </c>
      <c r="F426" s="5"/>
      <c r="G426" s="5"/>
      <c r="H426" s="5"/>
      <c r="I426" s="23"/>
      <c r="J426" s="19">
        <f t="shared" si="102"/>
        <v>0</v>
      </c>
    </row>
    <row r="427" spans="1:10" ht="13" hidden="1" customHeight="1" collapsed="1">
      <c r="A427" s="105"/>
      <c r="B427" s="144" t="s">
        <v>4445</v>
      </c>
      <c r="C427" s="145"/>
      <c r="D427" s="145"/>
      <c r="E427" s="145"/>
      <c r="F427" s="145"/>
      <c r="G427" s="145"/>
      <c r="H427" s="145"/>
      <c r="I427" s="145"/>
      <c r="J427" s="90">
        <f>SUM(J413:J426)</f>
        <v>0</v>
      </c>
    </row>
    <row r="428" spans="1:10" hidden="1">
      <c r="A428" s="105"/>
      <c r="B428" s="146" t="s">
        <v>4438</v>
      </c>
      <c r="C428" s="147"/>
      <c r="D428" s="147"/>
      <c r="E428" s="147"/>
      <c r="F428" s="147"/>
      <c r="G428" s="147"/>
      <c r="H428" s="147"/>
      <c r="I428" s="147"/>
      <c r="J428" s="148"/>
    </row>
    <row r="429" spans="1:10" hidden="1" outlineLevel="1">
      <c r="A429" s="105"/>
      <c r="B429" s="10" t="s">
        <v>20</v>
      </c>
      <c r="C429" s="10" t="s">
        <v>21</v>
      </c>
      <c r="D429" s="10" t="s">
        <v>22</v>
      </c>
      <c r="E429" s="149"/>
      <c r="F429" s="150"/>
      <c r="G429" s="150"/>
      <c r="H429" s="151"/>
      <c r="I429" s="13" t="s">
        <v>24</v>
      </c>
      <c r="J429" s="10" t="s">
        <v>25</v>
      </c>
    </row>
    <row r="430" spans="1:10" hidden="1" outlineLevel="1">
      <c r="A430" s="105"/>
      <c r="B430" s="92"/>
      <c r="C430" s="70" t="str">
        <f>IFERROR(VLOOKUP(B430,PARTS!A4:B1370,2,FALSE)," ")</f>
        <v xml:space="preserve"> </v>
      </c>
      <c r="D430" s="19" t="str">
        <f>IFERROR(VLOOKUP(B430,PARTS!A2:C21368,3,FALSE),"0")</f>
        <v>0</v>
      </c>
      <c r="E430" s="12"/>
      <c r="F430" s="12"/>
      <c r="G430" s="12"/>
      <c r="H430" s="12"/>
      <c r="I430" s="22">
        <v>2</v>
      </c>
      <c r="J430" s="19">
        <f>D430*I430</f>
        <v>0</v>
      </c>
    </row>
    <row r="431" spans="1:10" hidden="1" outlineLevel="1">
      <c r="A431" s="105"/>
      <c r="B431" s="92"/>
      <c r="C431" s="70" t="str">
        <f>IFERROR(VLOOKUP(B431,PARTS!A5:B1371,2,FALSE)," ")</f>
        <v xml:space="preserve"> </v>
      </c>
      <c r="D431" s="19" t="str">
        <f>IFERROR(VLOOKUP(B431,PARTS!A3:C21369,3,FALSE),"0")</f>
        <v>0</v>
      </c>
      <c r="E431" s="12"/>
      <c r="F431" s="12"/>
      <c r="G431" s="12"/>
      <c r="H431" s="12"/>
      <c r="I431" s="22">
        <v>1</v>
      </c>
      <c r="J431" s="19">
        <f t="shared" ref="J431:J453" si="103">D431*I431</f>
        <v>0</v>
      </c>
    </row>
    <row r="432" spans="1:10" hidden="1" outlineLevel="1">
      <c r="A432" s="105"/>
      <c r="B432" s="92"/>
      <c r="C432" s="70" t="str">
        <f>IFERROR(VLOOKUP(B432,PARTS!A6:B1372,2,FALSE)," ")</f>
        <v xml:space="preserve"> </v>
      </c>
      <c r="D432" s="19" t="str">
        <f>IFERROR(VLOOKUP(B432,PARTS!A2:C21370,3,FALSE),"0")</f>
        <v>0</v>
      </c>
      <c r="E432" s="12"/>
      <c r="F432" s="12"/>
      <c r="G432" s="12"/>
      <c r="H432" s="12"/>
      <c r="I432" s="22">
        <v>2</v>
      </c>
      <c r="J432" s="19">
        <f t="shared" si="103"/>
        <v>0</v>
      </c>
    </row>
    <row r="433" spans="1:10" hidden="1" outlineLevel="1">
      <c r="A433" s="105"/>
      <c r="B433" s="92"/>
      <c r="C433" s="70" t="str">
        <f>IFERROR(VLOOKUP(B433,PARTS!A7:B1373,2,FALSE)," ")</f>
        <v xml:space="preserve"> </v>
      </c>
      <c r="D433" s="19" t="str">
        <f>IFERROR(VLOOKUP(B433,PARTS!A5:C21371,3,FALSE),"0")</f>
        <v>0</v>
      </c>
      <c r="E433" s="12"/>
      <c r="F433" s="12"/>
      <c r="G433" s="12"/>
      <c r="H433" s="12"/>
      <c r="I433" s="22">
        <v>3</v>
      </c>
      <c r="J433" s="19">
        <f t="shared" si="103"/>
        <v>0</v>
      </c>
    </row>
    <row r="434" spans="1:10" hidden="1" outlineLevel="1">
      <c r="A434" s="105"/>
      <c r="B434" s="92"/>
      <c r="C434" s="70" t="str">
        <f>IFERROR(VLOOKUP(B434,PARTS!A8:B1374,2,FALSE)," ")</f>
        <v xml:space="preserve"> </v>
      </c>
      <c r="D434" s="19" t="str">
        <f>IFERROR(VLOOKUP(B434,PARTS!A6:C21372,3,FALSE),"0")</f>
        <v>0</v>
      </c>
      <c r="E434" s="12"/>
      <c r="F434" s="12"/>
      <c r="G434" s="12"/>
      <c r="H434" s="12"/>
      <c r="I434" s="22">
        <v>1</v>
      </c>
      <c r="J434" s="19">
        <f t="shared" si="103"/>
        <v>0</v>
      </c>
    </row>
    <row r="435" spans="1:10" hidden="1" outlineLevel="1">
      <c r="A435" s="105"/>
      <c r="B435" s="92"/>
      <c r="C435" s="70" t="str">
        <f>IFERROR(VLOOKUP(B435,PARTS!A9:B1375,2,FALSE)," ")</f>
        <v xml:space="preserve"> </v>
      </c>
      <c r="D435" s="19" t="str">
        <f>IFERROR(VLOOKUP(B435,PARTS!A7:C21373,3,FALSE),"0")</f>
        <v>0</v>
      </c>
      <c r="E435" s="12"/>
      <c r="F435" s="12"/>
      <c r="G435" s="12"/>
      <c r="H435" s="12"/>
      <c r="I435" s="22">
        <v>1</v>
      </c>
      <c r="J435" s="19">
        <f t="shared" si="103"/>
        <v>0</v>
      </c>
    </row>
    <row r="436" spans="1:10" hidden="1" outlineLevel="1">
      <c r="A436" s="105"/>
      <c r="B436" s="92"/>
      <c r="C436" s="70" t="str">
        <f>IFERROR(VLOOKUP(B436,PARTS!A10:B1376,2,FALSE)," ")</f>
        <v xml:space="preserve"> </v>
      </c>
      <c r="D436" s="19" t="str">
        <f>IFERROR(VLOOKUP(B436,PARTS!A8:C21374,3,FALSE),"0")</f>
        <v>0</v>
      </c>
      <c r="E436" s="12"/>
      <c r="F436" s="12"/>
      <c r="G436" s="12"/>
      <c r="H436" s="12"/>
      <c r="I436" s="22">
        <v>2</v>
      </c>
      <c r="J436" s="19">
        <f t="shared" si="103"/>
        <v>0</v>
      </c>
    </row>
    <row r="437" spans="1:10" hidden="1" outlineLevel="1">
      <c r="A437" s="105"/>
      <c r="B437" s="92"/>
      <c r="C437" s="70" t="str">
        <f>IFERROR(VLOOKUP(B437,PARTS!A11:B1377,2,FALSE)," ")</f>
        <v xml:space="preserve"> </v>
      </c>
      <c r="D437" s="19" t="str">
        <f>IFERROR(VLOOKUP(B437,PARTS!A9:C21375,3,FALSE),"0")</f>
        <v>0</v>
      </c>
      <c r="E437" s="12"/>
      <c r="F437" s="12"/>
      <c r="G437" s="12"/>
      <c r="H437" s="12"/>
      <c r="I437" s="22">
        <v>2</v>
      </c>
      <c r="J437" s="19">
        <f t="shared" si="103"/>
        <v>0</v>
      </c>
    </row>
    <row r="438" spans="1:10" hidden="1" outlineLevel="1">
      <c r="A438" s="105"/>
      <c r="B438" s="92"/>
      <c r="C438" s="70" t="str">
        <f>IFERROR(VLOOKUP(B438,PARTS!A12:B1378,2,FALSE)," ")</f>
        <v xml:space="preserve"> </v>
      </c>
      <c r="D438" s="19" t="str">
        <f>IFERROR(VLOOKUP(B438,PARTS!A10:C21376,3,FALSE),"0")</f>
        <v>0</v>
      </c>
      <c r="E438" s="12"/>
      <c r="F438" s="12"/>
      <c r="G438" s="12"/>
      <c r="H438" s="12"/>
      <c r="I438" s="22">
        <v>1</v>
      </c>
      <c r="J438" s="19">
        <f t="shared" si="103"/>
        <v>0</v>
      </c>
    </row>
    <row r="439" spans="1:10" hidden="1" outlineLevel="1">
      <c r="A439" s="105"/>
      <c r="B439" s="92"/>
      <c r="C439" s="70" t="str">
        <f>IFERROR(VLOOKUP(B439,PARTS!A13:B1379,2,FALSE)," ")</f>
        <v xml:space="preserve"> </v>
      </c>
      <c r="D439" s="19" t="str">
        <f>IFERROR(VLOOKUP(B439,PARTS!A11:C21377,3,FALSE),"0")</f>
        <v>0</v>
      </c>
      <c r="E439" s="12"/>
      <c r="F439" s="12"/>
      <c r="G439" s="12"/>
      <c r="H439" s="12"/>
      <c r="I439" s="22">
        <v>1</v>
      </c>
      <c r="J439" s="19">
        <f t="shared" si="103"/>
        <v>0</v>
      </c>
    </row>
    <row r="440" spans="1:10" hidden="1" outlineLevel="1">
      <c r="A440" s="105"/>
      <c r="B440" s="92"/>
      <c r="C440" s="70" t="str">
        <f>IFERROR(VLOOKUP(B440,PARTS!A2:B1380,2,FALSE)," ")</f>
        <v xml:space="preserve"> </v>
      </c>
      <c r="D440" s="19" t="str">
        <f>IFERROR(VLOOKUP(B440,PARTS!A2:C21378,3,FALSE),"0")</f>
        <v>0</v>
      </c>
      <c r="E440" s="12"/>
      <c r="F440" s="12"/>
      <c r="G440" s="12"/>
      <c r="H440" s="12"/>
      <c r="I440" s="22">
        <v>4</v>
      </c>
      <c r="J440" s="19">
        <f t="shared" si="103"/>
        <v>0</v>
      </c>
    </row>
    <row r="441" spans="1:10" hidden="1" outlineLevel="1">
      <c r="A441" s="105"/>
      <c r="B441" s="92"/>
      <c r="C441" s="70" t="str">
        <f>IFERROR(VLOOKUP(B441,PARTS!A15:B1381,2,FALSE)," ")</f>
        <v xml:space="preserve"> </v>
      </c>
      <c r="D441" s="19" t="str">
        <f>IFERROR(VLOOKUP(B441,PARTS!A13:C21379,3,FALSE),"0")</f>
        <v>0</v>
      </c>
      <c r="E441" s="12"/>
      <c r="F441" s="12"/>
      <c r="G441" s="12"/>
      <c r="H441" s="12"/>
      <c r="I441" s="22">
        <v>2</v>
      </c>
      <c r="J441" s="19">
        <f t="shared" si="103"/>
        <v>0</v>
      </c>
    </row>
    <row r="442" spans="1:10" hidden="1" outlineLevel="1">
      <c r="A442" s="105"/>
      <c r="B442" s="70"/>
      <c r="C442" s="70" t="str">
        <f>IFERROR(VLOOKUP(B442,PARTS!A16:B1382,2,FALSE)," ")</f>
        <v xml:space="preserve"> </v>
      </c>
      <c r="D442" s="19" t="str">
        <f>IFERROR(VLOOKUP(B442,PARTS!A14:C21380,3,FALSE),"0")</f>
        <v>0</v>
      </c>
      <c r="E442" s="12"/>
      <c r="F442" s="12"/>
      <c r="G442" s="12"/>
      <c r="H442" s="12"/>
      <c r="I442" s="22">
        <v>3</v>
      </c>
      <c r="J442" s="19">
        <f t="shared" si="103"/>
        <v>0</v>
      </c>
    </row>
    <row r="443" spans="1:10" hidden="1" outlineLevel="1">
      <c r="A443" s="105"/>
      <c r="B443" s="92"/>
      <c r="C443" s="70" t="str">
        <f>IFERROR(VLOOKUP(B443,PARTS!A17:B1383,2,FALSE)," ")</f>
        <v xml:space="preserve"> </v>
      </c>
      <c r="D443" s="19" t="str">
        <f>IFERROR(VLOOKUP(B443,PARTS!A15:C21381,3,FALSE),"0")</f>
        <v>0</v>
      </c>
      <c r="E443" s="12"/>
      <c r="F443" s="12"/>
      <c r="G443" s="12"/>
      <c r="H443" s="12"/>
      <c r="I443" s="22">
        <v>3</v>
      </c>
      <c r="J443" s="19">
        <f t="shared" si="103"/>
        <v>0</v>
      </c>
    </row>
    <row r="444" spans="1:10" hidden="1" outlineLevel="1">
      <c r="A444" s="105"/>
      <c r="B444" s="70"/>
      <c r="C444" s="70" t="str">
        <f>IFERROR(VLOOKUP(B444,PARTS!A18:B1384,2,FALSE)," ")</f>
        <v xml:space="preserve"> </v>
      </c>
      <c r="D444" s="19" t="str">
        <f>IFERROR(VLOOKUP(B444,PARTS!A16:C21382,3,FALSE),"0")</f>
        <v>0</v>
      </c>
      <c r="E444" s="12"/>
      <c r="F444" s="12"/>
      <c r="G444" s="12"/>
      <c r="H444" s="12"/>
      <c r="I444" s="22">
        <v>2</v>
      </c>
      <c r="J444" s="19">
        <f t="shared" si="103"/>
        <v>0</v>
      </c>
    </row>
    <row r="445" spans="1:10" hidden="1" outlineLevel="1">
      <c r="A445" s="105"/>
      <c r="B445" s="70"/>
      <c r="C445" s="70" t="str">
        <f>IFERROR(VLOOKUP(B445,PARTS!A19:B1385,2,FALSE)," ")</f>
        <v xml:space="preserve"> </v>
      </c>
      <c r="D445" s="19" t="str">
        <f>IFERROR(VLOOKUP(B445,PARTS!A17:C21383,3,FALSE),"0")</f>
        <v>0</v>
      </c>
      <c r="E445" s="12"/>
      <c r="F445" s="12"/>
      <c r="G445" s="12"/>
      <c r="H445" s="12"/>
      <c r="I445" s="22">
        <v>3</v>
      </c>
      <c r="J445" s="19">
        <f t="shared" si="103"/>
        <v>0</v>
      </c>
    </row>
    <row r="446" spans="1:10" hidden="1" outlineLevel="1">
      <c r="A446" s="105"/>
      <c r="B446" s="92"/>
      <c r="C446" s="70" t="str">
        <f>IFERROR(VLOOKUP(B446,PARTS!A20:B1386,2,FALSE)," ")</f>
        <v xml:space="preserve"> </v>
      </c>
      <c r="D446" s="19" t="str">
        <f>IFERROR(VLOOKUP(B446,PARTS!A18:C21384,3,FALSE),"0")</f>
        <v>0</v>
      </c>
      <c r="E446" s="12"/>
      <c r="F446" s="12"/>
      <c r="G446" s="12"/>
      <c r="H446" s="12"/>
      <c r="I446" s="22">
        <v>3</v>
      </c>
      <c r="J446" s="19">
        <f t="shared" si="103"/>
        <v>0</v>
      </c>
    </row>
    <row r="447" spans="1:10" hidden="1" outlineLevel="1">
      <c r="A447" s="105"/>
      <c r="B447" s="70"/>
      <c r="C447" s="70" t="str">
        <f>IFERROR(VLOOKUP(B447,PARTS!A21:B1387,2,FALSE)," ")</f>
        <v xml:space="preserve"> </v>
      </c>
      <c r="D447" s="19" t="str">
        <f>IFERROR(VLOOKUP(B447,PARTS!A19:C21385,3,FALSE),"0")</f>
        <v>0</v>
      </c>
      <c r="E447" s="12"/>
      <c r="F447" s="12"/>
      <c r="G447" s="12"/>
      <c r="H447" s="12"/>
      <c r="I447" s="22"/>
      <c r="J447" s="19">
        <f t="shared" si="103"/>
        <v>0</v>
      </c>
    </row>
    <row r="448" spans="1:10" hidden="1" outlineLevel="1">
      <c r="A448" s="105"/>
      <c r="B448" s="70"/>
      <c r="C448" s="70" t="str">
        <f>IFERROR(VLOOKUP(B448,PARTS!A22:B1388,2,FALSE)," ")</f>
        <v xml:space="preserve"> </v>
      </c>
      <c r="D448" s="19" t="str">
        <f>IFERROR(VLOOKUP(B448,PARTS!A20:C21386,3,FALSE),"0")</f>
        <v>0</v>
      </c>
      <c r="E448" s="12"/>
      <c r="F448" s="12"/>
      <c r="G448" s="12"/>
      <c r="H448" s="12"/>
      <c r="I448" s="22"/>
      <c r="J448" s="19">
        <f t="shared" si="103"/>
        <v>0</v>
      </c>
    </row>
    <row r="449" spans="1:10" hidden="1" outlineLevel="1">
      <c r="A449" s="105"/>
      <c r="B449" s="70"/>
      <c r="C449" s="70" t="str">
        <f>IFERROR(VLOOKUP(B449,PARTS!A23:B1389,2,FALSE)," ")</f>
        <v xml:space="preserve"> </v>
      </c>
      <c r="D449" s="19" t="str">
        <f>IFERROR(VLOOKUP(B449,PARTS!A21:C21387,3,FALSE),"0")</f>
        <v>0</v>
      </c>
      <c r="E449" s="12"/>
      <c r="F449" s="12"/>
      <c r="G449" s="12"/>
      <c r="H449" s="12"/>
      <c r="I449" s="22"/>
      <c r="J449" s="19">
        <f t="shared" si="103"/>
        <v>0</v>
      </c>
    </row>
    <row r="450" spans="1:10" hidden="1" outlineLevel="1">
      <c r="A450" s="105"/>
      <c r="B450" s="70"/>
      <c r="C450" s="70" t="str">
        <f>IFERROR(VLOOKUP(B450,PARTS!A24:B1390,2,FALSE)," ")</f>
        <v xml:space="preserve"> </v>
      </c>
      <c r="D450" s="19" t="str">
        <f>IFERROR(VLOOKUP(B450,PARTS!A22:C21388,3,FALSE),"0")</f>
        <v>0</v>
      </c>
      <c r="E450" s="12"/>
      <c r="F450" s="12"/>
      <c r="G450" s="12"/>
      <c r="H450" s="12"/>
      <c r="I450" s="22"/>
      <c r="J450" s="19">
        <f t="shared" si="103"/>
        <v>0</v>
      </c>
    </row>
    <row r="451" spans="1:10" hidden="1" outlineLevel="1">
      <c r="A451" s="105"/>
      <c r="B451" s="70"/>
      <c r="C451" s="70" t="str">
        <f>IFERROR(VLOOKUP(B451,PARTS!A25:B1391,2,FALSE)," ")</f>
        <v xml:space="preserve"> </v>
      </c>
      <c r="D451" s="19" t="str">
        <f>IFERROR(VLOOKUP(B451,PARTS!A23:C21389,3,FALSE),"0")</f>
        <v>0</v>
      </c>
      <c r="E451" s="12"/>
      <c r="F451" s="12"/>
      <c r="G451" s="12"/>
      <c r="H451" s="12"/>
      <c r="I451" s="22"/>
      <c r="J451" s="19">
        <f t="shared" si="103"/>
        <v>0</v>
      </c>
    </row>
    <row r="452" spans="1:10" hidden="1" outlineLevel="1">
      <c r="A452" s="105"/>
      <c r="B452" s="70"/>
      <c r="C452" s="70" t="str">
        <f>IFERROR(VLOOKUP(B452,PARTS!A26:B1392,2,FALSE)," ")</f>
        <v xml:space="preserve"> </v>
      </c>
      <c r="D452" s="19" t="str">
        <f>IFERROR(VLOOKUP(B452,PARTS!A24:C21390,3,FALSE),"0")</f>
        <v>0</v>
      </c>
      <c r="E452" s="12"/>
      <c r="F452" s="12"/>
      <c r="G452" s="12"/>
      <c r="H452" s="12"/>
      <c r="I452" s="22"/>
      <c r="J452" s="19">
        <f t="shared" si="103"/>
        <v>0</v>
      </c>
    </row>
    <row r="453" spans="1:10" hidden="1" outlineLevel="1">
      <c r="A453" s="105"/>
      <c r="B453" s="70"/>
      <c r="C453" s="70" t="str">
        <f>IFERROR(VLOOKUP(B453,PARTS!A27:B1393,2,FALSE)," ")</f>
        <v xml:space="preserve"> </v>
      </c>
      <c r="D453" s="19" t="str">
        <f>IFERROR(VLOOKUP(B453,PARTS!A25:C21391,3,FALSE),"0")</f>
        <v>0</v>
      </c>
      <c r="E453" s="12"/>
      <c r="F453" s="12"/>
      <c r="G453" s="12"/>
      <c r="H453" s="12"/>
      <c r="I453" s="22"/>
      <c r="J453" s="19">
        <f t="shared" si="103"/>
        <v>0</v>
      </c>
    </row>
    <row r="454" spans="1:10" hidden="1" collapsed="1">
      <c r="A454" s="105"/>
      <c r="B454" s="134" t="s">
        <v>4446</v>
      </c>
      <c r="C454" s="135"/>
      <c r="D454" s="135"/>
      <c r="E454" s="135"/>
      <c r="F454" s="135"/>
      <c r="G454" s="135"/>
      <c r="H454" s="135"/>
      <c r="I454" s="136"/>
      <c r="J454" s="49">
        <f>SUM(J430:J453)</f>
        <v>0</v>
      </c>
    </row>
    <row r="455" spans="1:10">
      <c r="A455" s="105"/>
      <c r="B455" s="139"/>
      <c r="C455" s="140"/>
      <c r="D455" s="140"/>
      <c r="E455" s="140"/>
      <c r="F455" s="140"/>
      <c r="G455" s="137" t="s">
        <v>410</v>
      </c>
      <c r="H455" s="138"/>
      <c r="I455" s="138"/>
      <c r="J455" s="52">
        <f>SUM(J454,J427,J305,J223,J186,J133,J123,J114)</f>
        <v>287.26800000000003</v>
      </c>
    </row>
    <row r="456" spans="1:10">
      <c r="A456" s="105"/>
      <c r="B456" s="128" t="s">
        <v>4501</v>
      </c>
      <c r="C456" s="129"/>
      <c r="D456" s="129"/>
      <c r="E456" s="129"/>
      <c r="F456" s="129"/>
      <c r="G456" s="129"/>
      <c r="H456" s="129"/>
      <c r="I456" s="130"/>
      <c r="J456" s="52">
        <f>SUM(J411,J405,J316)</f>
        <v>0</v>
      </c>
    </row>
    <row r="457" spans="1:10" ht="12" customHeight="1">
      <c r="A457" s="105"/>
      <c r="B457" s="174" t="s">
        <v>4502</v>
      </c>
      <c r="C457" s="175"/>
      <c r="D457" s="175"/>
      <c r="E457" s="175"/>
      <c r="F457" s="175"/>
      <c r="G457" s="175"/>
      <c r="H457" s="175"/>
      <c r="I457" s="176"/>
      <c r="J457" s="49">
        <f>SUM(J386,J359)</f>
        <v>1852.5</v>
      </c>
    </row>
    <row r="458" spans="1:10" ht="12" customHeight="1">
      <c r="A458" s="105"/>
      <c r="B458" s="174" t="s">
        <v>4473</v>
      </c>
      <c r="C458" s="175"/>
      <c r="D458" s="175"/>
      <c r="E458" s="175"/>
      <c r="F458" s="175"/>
      <c r="G458" s="175"/>
      <c r="H458" s="175"/>
      <c r="I458" s="176"/>
      <c r="J458" s="49">
        <f>SUM(J455:J457)</f>
        <v>2139.768</v>
      </c>
    </row>
    <row r="459" spans="1:10" ht="12" customHeight="1">
      <c r="A459" s="105"/>
      <c r="B459" s="180" t="s">
        <v>4472</v>
      </c>
      <c r="C459" s="181"/>
      <c r="D459" s="181"/>
      <c r="E459" s="181"/>
      <c r="F459" s="181"/>
      <c r="G459" s="181"/>
      <c r="H459" s="181"/>
      <c r="I459" s="182"/>
      <c r="J459" s="103">
        <f>SUM(J455*0%)</f>
        <v>0</v>
      </c>
    </row>
    <row r="460" spans="1:10" ht="12" customHeight="1">
      <c r="A460" s="105"/>
      <c r="B460" s="177" t="s">
        <v>7</v>
      </c>
      <c r="C460" s="178"/>
      <c r="D460" s="178"/>
      <c r="E460" s="178"/>
      <c r="F460" s="178"/>
      <c r="G460" s="178"/>
      <c r="H460" s="178"/>
      <c r="I460" s="179"/>
      <c r="J460" s="49">
        <f>SUM(J458:J459)</f>
        <v>2139.768</v>
      </c>
    </row>
  </sheetData>
  <sortState xmlns:xlrd2="http://schemas.microsoft.com/office/spreadsheetml/2017/richdata2" ref="A334:K351">
    <sortCondition ref="B334:B351"/>
  </sortState>
  <mergeCells count="52">
    <mergeCell ref="B457:I457"/>
    <mergeCell ref="B13:J13"/>
    <mergeCell ref="B83:J83"/>
    <mergeCell ref="B177:J177"/>
    <mergeCell ref="B169:J169"/>
    <mergeCell ref="B151:J151"/>
    <mergeCell ref="B138:J138"/>
    <mergeCell ref="B98:J98"/>
    <mergeCell ref="B395:I395"/>
    <mergeCell ref="B387:J387"/>
    <mergeCell ref="B386:H386"/>
    <mergeCell ref="B316:I316"/>
    <mergeCell ref="B331:I331"/>
    <mergeCell ref="B359:I359"/>
    <mergeCell ref="B306:J306"/>
    <mergeCell ref="B305:I305"/>
    <mergeCell ref="B458:I458"/>
    <mergeCell ref="B460:I460"/>
    <mergeCell ref="B459:I459"/>
    <mergeCell ref="D3:J10"/>
    <mergeCell ref="B396:I396"/>
    <mergeCell ref="B332:J332"/>
    <mergeCell ref="B134:I134"/>
    <mergeCell ref="B11:J11"/>
    <mergeCell ref="B360:J360"/>
    <mergeCell ref="B187:J187"/>
    <mergeCell ref="B114:I114"/>
    <mergeCell ref="B115:J115"/>
    <mergeCell ref="B123:I123"/>
    <mergeCell ref="E124:J124"/>
    <mergeCell ref="B223:I223"/>
    <mergeCell ref="E116:J116"/>
    <mergeCell ref="B186:I186"/>
    <mergeCell ref="B133:I133"/>
    <mergeCell ref="B317:J317"/>
    <mergeCell ref="B298:J298"/>
    <mergeCell ref="B224:J224"/>
    <mergeCell ref="B226:J226"/>
    <mergeCell ref="B456:I456"/>
    <mergeCell ref="B397:J397"/>
    <mergeCell ref="B454:I454"/>
    <mergeCell ref="G455:I455"/>
    <mergeCell ref="B455:F455"/>
    <mergeCell ref="B412:J412"/>
    <mergeCell ref="B427:I427"/>
    <mergeCell ref="B428:J428"/>
    <mergeCell ref="E429:H429"/>
    <mergeCell ref="G411:I411"/>
    <mergeCell ref="B411:F411"/>
    <mergeCell ref="B405:F405"/>
    <mergeCell ref="G405:I405"/>
    <mergeCell ref="B406:J406"/>
  </mergeCells>
  <phoneticPr fontId="21" type="noConversion"/>
  <conditionalFormatting sqref="F368 F373 F375 F377 F379 F388:F390 F394 F383 F366">
    <cfRule type="cellIs" dxfId="1" priority="10" stopIfTrue="1" operator="lessThan">
      <formula>0</formula>
    </cfRule>
  </conditionalFormatting>
  <conditionalFormatting sqref="F399:F404">
    <cfRule type="cellIs" dxfId="0" priority="8" stopIfTrue="1" operator="lessThan">
      <formula>0</formula>
    </cfRule>
  </conditionalFormatting>
  <dataValidations count="1">
    <dataValidation type="list" allowBlank="1" showInputMessage="1" showErrorMessage="1" sqref="C3" xr:uid="{00000000-0002-0000-0300-000000000000}">
      <formula1>"VIXXO,PROJECT FORUM,SHEETZ,WAWA,AECOM,SEI COMPLIANCE,TANKNOLOGY,MISC"</formula1>
    </dataValidation>
  </dataValidations>
  <pageMargins left="0.7" right="0.7" top="0.25" bottom="0.25" header="0.3" footer="0.3"/>
  <pageSetup orientation="portrait"/>
  <headerFooter>
    <oddFooter>&amp;C&amp;"Helvetica Neue,Regular"&amp;12&amp;K000000&amp;P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PART#" xr:uid="{91D86FF4-6670-B246-B712-875F8C1E6B21}">
          <x14:formula1>
            <xm:f>PARTS!$A$2:$A$1368</xm:f>
          </x14:formula1>
          <xm:sqref>B442:B453</xm:sqref>
        </x14:dataValidation>
        <x14:dataValidation type="list" allowBlank="1" showInputMessage="1" showErrorMessage="1" promptTitle="EQUIP" xr:uid="{3E54EB17-5618-2A4F-8F19-79131D9FD129}">
          <x14:formula1>
            <xm:f>EQUIP!$A$2:$A$11</xm:f>
          </x14:formula1>
          <xm:sqref>B399:B404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B243-DB72-F445-87EC-1446D0D03C53}">
  <dimension ref="A1:E1369"/>
  <sheetViews>
    <sheetView showGridLines="0" topLeftCell="A979" workbookViewId="0">
      <selection activeCell="A1002" sqref="A1002"/>
    </sheetView>
  </sheetViews>
  <sheetFormatPr baseColWidth="10" defaultColWidth="8.83203125" defaultRowHeight="15" customHeight="1"/>
  <cols>
    <col min="1" max="1" width="15.83203125" style="53" customWidth="1"/>
    <col min="2" max="2" width="24.6640625" style="53" customWidth="1"/>
    <col min="3" max="3" width="16.6640625" style="53" customWidth="1"/>
    <col min="4" max="4" width="45.83203125" style="53" customWidth="1"/>
    <col min="5" max="5" width="37.33203125" style="53" customWidth="1"/>
    <col min="6" max="6" width="8.83203125" style="53" customWidth="1"/>
    <col min="7" max="16384" width="8.83203125" style="53"/>
  </cols>
  <sheetData>
    <row r="1" spans="1:5" ht="15" customHeight="1">
      <c r="A1" s="60" t="s">
        <v>3061</v>
      </c>
      <c r="B1" s="60" t="s">
        <v>21</v>
      </c>
      <c r="C1" s="57" t="s">
        <v>3060</v>
      </c>
      <c r="D1" s="54"/>
      <c r="E1" s="54"/>
    </row>
    <row r="2" spans="1:5" ht="15" customHeight="1">
      <c r="A2" s="61" t="s">
        <v>3059</v>
      </c>
      <c r="B2" s="61" t="s">
        <v>3058</v>
      </c>
      <c r="C2" s="55">
        <v>9.69</v>
      </c>
      <c r="D2" s="54"/>
      <c r="E2" s="58"/>
    </row>
    <row r="3" spans="1:5" ht="15" customHeight="1">
      <c r="A3" s="61" t="s">
        <v>3057</v>
      </c>
      <c r="B3" s="61" t="s">
        <v>3056</v>
      </c>
      <c r="C3" s="55">
        <v>13.79</v>
      </c>
      <c r="D3" s="54"/>
      <c r="E3" s="54"/>
    </row>
    <row r="4" spans="1:5" ht="15" customHeight="1">
      <c r="A4" s="61" t="s">
        <v>3055</v>
      </c>
      <c r="B4" s="61" t="s">
        <v>3054</v>
      </c>
      <c r="C4" s="55">
        <v>12.38</v>
      </c>
      <c r="D4" s="54"/>
      <c r="E4" s="54"/>
    </row>
    <row r="5" spans="1:5" ht="15" customHeight="1">
      <c r="A5" s="61" t="s">
        <v>3053</v>
      </c>
      <c r="B5" s="61" t="s">
        <v>3052</v>
      </c>
      <c r="C5" s="55">
        <v>9.8000000000000007</v>
      </c>
      <c r="D5" s="54"/>
      <c r="E5" s="54"/>
    </row>
    <row r="6" spans="1:5" ht="15" customHeight="1">
      <c r="A6" s="61" t="s">
        <v>3051</v>
      </c>
      <c r="B6" s="61" t="s">
        <v>3050</v>
      </c>
      <c r="C6" s="55">
        <v>14.8</v>
      </c>
      <c r="D6" s="54"/>
      <c r="E6" s="54"/>
    </row>
    <row r="7" spans="1:5" ht="15" customHeight="1">
      <c r="A7" s="61" t="s">
        <v>3049</v>
      </c>
      <c r="B7" s="61" t="s">
        <v>3048</v>
      </c>
      <c r="C7" s="55">
        <v>24.94</v>
      </c>
      <c r="D7" s="54"/>
      <c r="E7" s="54"/>
    </row>
    <row r="8" spans="1:5" ht="15" customHeight="1">
      <c r="A8" s="61" t="s">
        <v>3047</v>
      </c>
      <c r="B8" s="61" t="s">
        <v>3046</v>
      </c>
      <c r="C8" s="55">
        <v>14.8</v>
      </c>
      <c r="D8" s="54"/>
      <c r="E8" s="54"/>
    </row>
    <row r="9" spans="1:5" ht="15" customHeight="1">
      <c r="A9" s="61" t="s">
        <v>3045</v>
      </c>
      <c r="B9" s="61" t="s">
        <v>3044</v>
      </c>
      <c r="C9" s="55">
        <v>10.62</v>
      </c>
      <c r="D9" s="54"/>
      <c r="E9" s="54"/>
    </row>
    <row r="10" spans="1:5" ht="15" customHeight="1">
      <c r="A10" s="61" t="s">
        <v>3043</v>
      </c>
      <c r="B10" s="61" t="s">
        <v>3042</v>
      </c>
      <c r="C10" s="55">
        <v>22.38</v>
      </c>
      <c r="D10" s="54"/>
      <c r="E10" s="54"/>
    </row>
    <row r="11" spans="1:5" ht="15" customHeight="1">
      <c r="A11" s="61" t="s">
        <v>3041</v>
      </c>
      <c r="B11" s="61" t="s">
        <v>3040</v>
      </c>
      <c r="C11" s="55">
        <v>12.15</v>
      </c>
      <c r="D11" s="54"/>
      <c r="E11" s="54"/>
    </row>
    <row r="12" spans="1:5" ht="15" customHeight="1">
      <c r="A12" s="61" t="s">
        <v>3039</v>
      </c>
      <c r="B12" s="61" t="s">
        <v>3038</v>
      </c>
      <c r="C12" s="55">
        <v>870.72</v>
      </c>
      <c r="D12" s="54"/>
      <c r="E12" s="54"/>
    </row>
    <row r="13" spans="1:5" ht="15" customHeight="1">
      <c r="A13" s="61" t="s">
        <v>3037</v>
      </c>
      <c r="B13" s="61" t="s">
        <v>3036</v>
      </c>
      <c r="C13" s="55">
        <v>24.67</v>
      </c>
      <c r="D13" s="54"/>
      <c r="E13" s="54"/>
    </row>
    <row r="14" spans="1:5" ht="15" customHeight="1">
      <c r="A14" s="61" t="s">
        <v>3035</v>
      </c>
      <c r="B14" s="61" t="s">
        <v>3034</v>
      </c>
      <c r="C14" s="55">
        <v>23.55</v>
      </c>
      <c r="D14" s="54"/>
      <c r="E14" s="54"/>
    </row>
    <row r="15" spans="1:5" ht="15" customHeight="1">
      <c r="A15" s="61" t="s">
        <v>3033</v>
      </c>
      <c r="B15" s="61" t="s">
        <v>3032</v>
      </c>
      <c r="C15" s="55">
        <v>24.67</v>
      </c>
      <c r="D15" s="54"/>
      <c r="E15" s="54"/>
    </row>
    <row r="16" spans="1:5" ht="15" customHeight="1">
      <c r="A16" s="61" t="s">
        <v>3031</v>
      </c>
      <c r="B16" s="61" t="s">
        <v>3030</v>
      </c>
      <c r="C16" s="55">
        <v>45.35</v>
      </c>
      <c r="D16" s="54"/>
      <c r="E16" s="54"/>
    </row>
    <row r="17" spans="1:5" ht="15" customHeight="1">
      <c r="A17" s="61" t="s">
        <v>3029</v>
      </c>
      <c r="B17" s="61" t="s">
        <v>3028</v>
      </c>
      <c r="C17" s="55">
        <v>42.64</v>
      </c>
      <c r="D17" s="54"/>
      <c r="E17" s="54"/>
    </row>
    <row r="18" spans="1:5" ht="15" customHeight="1">
      <c r="A18" s="61" t="s">
        <v>3027</v>
      </c>
      <c r="B18" s="61" t="s">
        <v>3026</v>
      </c>
      <c r="C18" s="55">
        <v>46.82</v>
      </c>
      <c r="D18" s="54"/>
      <c r="E18" s="54"/>
    </row>
    <row r="19" spans="1:5" ht="15" customHeight="1">
      <c r="A19" s="61" t="s">
        <v>3025</v>
      </c>
      <c r="B19" s="61" t="s">
        <v>3024</v>
      </c>
      <c r="C19" s="55">
        <v>50.24</v>
      </c>
      <c r="D19" s="54"/>
      <c r="E19" s="54"/>
    </row>
    <row r="20" spans="1:5" ht="15" customHeight="1">
      <c r="A20" s="61" t="s">
        <v>3023</v>
      </c>
      <c r="B20" s="61" t="s">
        <v>3022</v>
      </c>
      <c r="C20" s="55">
        <v>59.06</v>
      </c>
      <c r="D20" s="54"/>
      <c r="E20" s="54"/>
    </row>
    <row r="21" spans="1:5" ht="15" customHeight="1">
      <c r="A21" s="61" t="s">
        <v>3021</v>
      </c>
      <c r="B21" s="61" t="s">
        <v>3020</v>
      </c>
      <c r="C21" s="55">
        <v>51.79</v>
      </c>
      <c r="D21" s="54"/>
      <c r="E21" s="54"/>
    </row>
    <row r="22" spans="1:5" ht="15" customHeight="1">
      <c r="A22" s="61" t="s">
        <v>3019</v>
      </c>
      <c r="B22" s="61" t="s">
        <v>3018</v>
      </c>
      <c r="C22" s="55">
        <v>63.22</v>
      </c>
      <c r="D22" s="54"/>
      <c r="E22" s="54"/>
    </row>
    <row r="23" spans="1:5" ht="15" customHeight="1">
      <c r="A23" s="61" t="s">
        <v>3017</v>
      </c>
      <c r="B23" s="61" t="s">
        <v>3016</v>
      </c>
      <c r="C23" s="55">
        <v>32.1</v>
      </c>
      <c r="D23" s="54"/>
      <c r="E23" s="54"/>
    </row>
    <row r="24" spans="1:5" ht="15" customHeight="1">
      <c r="A24" s="61" t="s">
        <v>3015</v>
      </c>
      <c r="B24" s="61" t="s">
        <v>3014</v>
      </c>
      <c r="C24" s="55">
        <v>30.25</v>
      </c>
      <c r="D24" s="54"/>
      <c r="E24" s="54"/>
    </row>
    <row r="25" spans="1:5" ht="15" customHeight="1">
      <c r="A25" s="61" t="s">
        <v>3013</v>
      </c>
      <c r="B25" s="61" t="s">
        <v>3012</v>
      </c>
      <c r="C25" s="55">
        <v>56.73</v>
      </c>
      <c r="D25" s="54"/>
      <c r="E25" s="54"/>
    </row>
    <row r="26" spans="1:5" ht="15" customHeight="1">
      <c r="A26" s="61" t="s">
        <v>3011</v>
      </c>
      <c r="B26" s="61" t="s">
        <v>3009</v>
      </c>
      <c r="C26" s="55">
        <v>150.5</v>
      </c>
      <c r="D26" s="54"/>
      <c r="E26" s="54"/>
    </row>
    <row r="27" spans="1:5" ht="15" customHeight="1">
      <c r="A27" s="61" t="s">
        <v>3010</v>
      </c>
      <c r="B27" s="61" t="s">
        <v>3009</v>
      </c>
      <c r="C27" s="55">
        <v>202.2</v>
      </c>
      <c r="D27" s="54"/>
      <c r="E27" s="54"/>
    </row>
    <row r="28" spans="1:5" ht="15" customHeight="1">
      <c r="A28" s="61" t="s">
        <v>3008</v>
      </c>
      <c r="B28" s="61" t="s">
        <v>3007</v>
      </c>
      <c r="C28" s="55">
        <v>218.68</v>
      </c>
      <c r="D28" s="54"/>
      <c r="E28" s="54"/>
    </row>
    <row r="29" spans="1:5" ht="15" customHeight="1">
      <c r="A29" s="61" t="s">
        <v>3006</v>
      </c>
      <c r="B29" s="61" t="s">
        <v>3005</v>
      </c>
      <c r="C29" s="55">
        <v>205.37</v>
      </c>
      <c r="D29" s="54"/>
      <c r="E29" s="54"/>
    </row>
    <row r="30" spans="1:5" ht="15" customHeight="1">
      <c r="A30" s="61" t="s">
        <v>3004</v>
      </c>
      <c r="B30" s="61" t="s">
        <v>3003</v>
      </c>
      <c r="C30" s="55">
        <v>46.76</v>
      </c>
      <c r="D30" s="54"/>
      <c r="E30" s="54"/>
    </row>
    <row r="31" spans="1:5" ht="15" customHeight="1">
      <c r="A31" s="61" t="s">
        <v>3002</v>
      </c>
      <c r="B31" s="61" t="s">
        <v>3001</v>
      </c>
      <c r="C31" s="55">
        <v>436.62</v>
      </c>
      <c r="D31" s="54"/>
      <c r="E31" s="54"/>
    </row>
    <row r="32" spans="1:5" ht="15" customHeight="1">
      <c r="A32" s="61" t="s">
        <v>3000</v>
      </c>
      <c r="B32" s="61" t="s">
        <v>2999</v>
      </c>
      <c r="C32" s="55">
        <v>46.76</v>
      </c>
      <c r="D32" s="54"/>
      <c r="E32" s="54"/>
    </row>
    <row r="33" spans="1:5" ht="15" customHeight="1">
      <c r="A33" s="61" t="s">
        <v>2998</v>
      </c>
      <c r="B33" s="61" t="s">
        <v>2997</v>
      </c>
      <c r="C33" s="55">
        <v>446.88</v>
      </c>
      <c r="D33" s="54"/>
      <c r="E33" s="54"/>
    </row>
    <row r="34" spans="1:5" ht="15" customHeight="1">
      <c r="A34" s="61" t="s">
        <v>2996</v>
      </c>
      <c r="B34" s="61" t="s">
        <v>2995</v>
      </c>
      <c r="C34" s="55">
        <v>331.96</v>
      </c>
      <c r="D34" s="54"/>
      <c r="E34" s="54"/>
    </row>
    <row r="35" spans="1:5" ht="15" customHeight="1">
      <c r="A35" s="61" t="s">
        <v>2994</v>
      </c>
      <c r="B35" s="61" t="s">
        <v>2993</v>
      </c>
      <c r="C35" s="55">
        <v>66.03</v>
      </c>
      <c r="D35" s="54"/>
      <c r="E35" s="54"/>
    </row>
    <row r="36" spans="1:5" ht="15" customHeight="1">
      <c r="A36" s="61" t="s">
        <v>2992</v>
      </c>
      <c r="B36" s="61" t="s">
        <v>2991</v>
      </c>
      <c r="C36" s="55">
        <v>36.03</v>
      </c>
      <c r="D36" s="54"/>
      <c r="E36" s="54"/>
    </row>
    <row r="37" spans="1:5" ht="15" customHeight="1">
      <c r="A37" s="61" t="s">
        <v>2990</v>
      </c>
      <c r="B37" s="61" t="s">
        <v>2989</v>
      </c>
      <c r="C37" s="55">
        <v>16.21</v>
      </c>
      <c r="D37" s="54"/>
      <c r="E37" s="54"/>
    </row>
    <row r="38" spans="1:5" ht="15" customHeight="1">
      <c r="A38" s="61" t="s">
        <v>2988</v>
      </c>
      <c r="B38" s="61" t="s">
        <v>2932</v>
      </c>
      <c r="C38" s="55">
        <v>16.71</v>
      </c>
      <c r="D38" s="54"/>
      <c r="E38" s="54"/>
    </row>
    <row r="39" spans="1:5" ht="15" customHeight="1">
      <c r="A39" s="61" t="s">
        <v>2987</v>
      </c>
      <c r="B39" s="61" t="s">
        <v>2986</v>
      </c>
      <c r="C39" s="55">
        <v>36</v>
      </c>
      <c r="D39" s="54"/>
      <c r="E39" s="54"/>
    </row>
    <row r="40" spans="1:5" ht="15" customHeight="1">
      <c r="A40" s="61" t="s">
        <v>2985</v>
      </c>
      <c r="B40" s="61" t="s">
        <v>2984</v>
      </c>
      <c r="C40" s="55">
        <v>14.82</v>
      </c>
      <c r="D40" s="54"/>
      <c r="E40" s="54"/>
    </row>
    <row r="41" spans="1:5" ht="15" customHeight="1">
      <c r="A41" s="61" t="s">
        <v>2983</v>
      </c>
      <c r="B41" s="61" t="s">
        <v>2982</v>
      </c>
      <c r="C41" s="55">
        <v>14.82</v>
      </c>
      <c r="D41" s="54"/>
      <c r="E41" s="54"/>
    </row>
    <row r="42" spans="1:5" ht="15" customHeight="1">
      <c r="A42" s="61" t="s">
        <v>2981</v>
      </c>
      <c r="B42" s="61" t="s">
        <v>2980</v>
      </c>
      <c r="C42" s="55">
        <v>16.079999999999998</v>
      </c>
      <c r="D42" s="54"/>
      <c r="E42" s="54"/>
    </row>
    <row r="43" spans="1:5" ht="15" customHeight="1">
      <c r="A43" s="61" t="s">
        <v>2979</v>
      </c>
      <c r="B43" s="61" t="s">
        <v>2978</v>
      </c>
      <c r="C43" s="55">
        <v>14.41</v>
      </c>
      <c r="D43" s="54"/>
      <c r="E43" s="54"/>
    </row>
    <row r="44" spans="1:5" ht="15" customHeight="1">
      <c r="A44" s="61" t="s">
        <v>2977</v>
      </c>
      <c r="B44" s="61" t="s">
        <v>2976</v>
      </c>
      <c r="C44" s="55">
        <v>61.1</v>
      </c>
      <c r="D44" s="54"/>
      <c r="E44" s="54"/>
    </row>
    <row r="45" spans="1:5" ht="15" customHeight="1">
      <c r="A45" s="61" t="s">
        <v>2975</v>
      </c>
      <c r="B45" s="61" t="s">
        <v>2974</v>
      </c>
      <c r="C45" s="55">
        <v>24.47</v>
      </c>
      <c r="D45" s="54"/>
      <c r="E45" s="54"/>
    </row>
    <row r="46" spans="1:5" ht="15" customHeight="1">
      <c r="A46" s="61" t="s">
        <v>2973</v>
      </c>
      <c r="B46" s="61" t="s">
        <v>2972</v>
      </c>
      <c r="C46" s="55">
        <v>31.09</v>
      </c>
      <c r="D46" s="54"/>
      <c r="E46" s="54"/>
    </row>
    <row r="47" spans="1:5" ht="15" customHeight="1">
      <c r="A47" s="61" t="s">
        <v>2971</v>
      </c>
      <c r="B47" s="61" t="s">
        <v>2970</v>
      </c>
      <c r="C47" s="55">
        <v>13.1</v>
      </c>
      <c r="D47" s="54"/>
      <c r="E47" s="54"/>
    </row>
    <row r="48" spans="1:5" ht="15" customHeight="1">
      <c r="A48" s="61" t="s">
        <v>2969</v>
      </c>
      <c r="B48" s="61" t="s">
        <v>2968</v>
      </c>
      <c r="C48" s="55">
        <v>20.440000000000001</v>
      </c>
      <c r="D48" s="54"/>
      <c r="E48" s="54"/>
    </row>
    <row r="49" spans="1:5" ht="15" customHeight="1">
      <c r="A49" s="61" t="s">
        <v>2967</v>
      </c>
      <c r="B49" s="61" t="s">
        <v>2966</v>
      </c>
      <c r="C49" s="55">
        <v>8.6199999999999992</v>
      </c>
      <c r="D49" s="54"/>
      <c r="E49" s="54"/>
    </row>
    <row r="50" spans="1:5" ht="15" customHeight="1">
      <c r="A50" s="61" t="s">
        <v>2965</v>
      </c>
      <c r="B50" s="61" t="s">
        <v>2964</v>
      </c>
      <c r="C50" s="55">
        <v>8.6199999999999992</v>
      </c>
      <c r="D50" s="54"/>
      <c r="E50" s="54"/>
    </row>
    <row r="51" spans="1:5" ht="15" customHeight="1">
      <c r="A51" s="61" t="s">
        <v>2963</v>
      </c>
      <c r="B51" s="61" t="s">
        <v>2962</v>
      </c>
      <c r="C51" s="55">
        <v>46</v>
      </c>
      <c r="D51" s="54"/>
      <c r="E51" s="54"/>
    </row>
    <row r="52" spans="1:5" ht="15" customHeight="1">
      <c r="A52" s="61" t="s">
        <v>2961</v>
      </c>
      <c r="B52" s="61" t="s">
        <v>2960</v>
      </c>
      <c r="C52" s="55">
        <v>46.2</v>
      </c>
      <c r="D52" s="54"/>
      <c r="E52" s="54"/>
    </row>
    <row r="53" spans="1:5" ht="15" customHeight="1">
      <c r="A53" s="61" t="s">
        <v>2959</v>
      </c>
      <c r="B53" s="61" t="s">
        <v>2958</v>
      </c>
      <c r="C53" s="55">
        <v>59.88</v>
      </c>
      <c r="D53" s="54"/>
      <c r="E53" s="54"/>
    </row>
    <row r="54" spans="1:5" ht="15" customHeight="1">
      <c r="A54" s="61" t="s">
        <v>2957</v>
      </c>
      <c r="B54" s="61" t="s">
        <v>2956</v>
      </c>
      <c r="C54" s="55">
        <v>44.82</v>
      </c>
      <c r="D54" s="54"/>
      <c r="E54" s="54"/>
    </row>
    <row r="55" spans="1:5" ht="15" customHeight="1">
      <c r="A55" s="61" t="s">
        <v>2955</v>
      </c>
      <c r="B55" s="61" t="s">
        <v>2954</v>
      </c>
      <c r="C55" s="55">
        <v>71.680000000000007</v>
      </c>
      <c r="D55" s="54"/>
      <c r="E55" s="54"/>
    </row>
    <row r="56" spans="1:5" ht="15" customHeight="1">
      <c r="A56" s="61" t="s">
        <v>2953</v>
      </c>
      <c r="B56" s="61" t="s">
        <v>2952</v>
      </c>
      <c r="C56" s="55">
        <v>48.09</v>
      </c>
      <c r="D56" s="54"/>
      <c r="E56" s="54"/>
    </row>
    <row r="57" spans="1:5" ht="15" customHeight="1">
      <c r="A57" s="61" t="s">
        <v>2951</v>
      </c>
      <c r="B57" s="61" t="s">
        <v>2950</v>
      </c>
      <c r="C57" s="55">
        <v>14.2</v>
      </c>
      <c r="D57" s="54"/>
      <c r="E57" s="54"/>
    </row>
    <row r="58" spans="1:5" ht="15" customHeight="1">
      <c r="A58" s="61" t="s">
        <v>2949</v>
      </c>
      <c r="B58" s="61" t="s">
        <v>2948</v>
      </c>
      <c r="C58" s="55">
        <v>28.49</v>
      </c>
      <c r="D58" s="54"/>
      <c r="E58" s="54"/>
    </row>
    <row r="59" spans="1:5" ht="15" customHeight="1">
      <c r="A59" s="61" t="s">
        <v>2947</v>
      </c>
      <c r="B59" s="61" t="s">
        <v>2946</v>
      </c>
      <c r="C59" s="55">
        <v>21.89</v>
      </c>
      <c r="D59" s="54"/>
      <c r="E59" s="54"/>
    </row>
    <row r="60" spans="1:5" ht="15" customHeight="1">
      <c r="A60" s="61" t="s">
        <v>2945</v>
      </c>
      <c r="B60" s="61" t="s">
        <v>2944</v>
      </c>
      <c r="C60" s="55">
        <v>23.21</v>
      </c>
      <c r="D60" s="54"/>
      <c r="E60" s="54"/>
    </row>
    <row r="61" spans="1:5" ht="15" customHeight="1">
      <c r="A61" s="61" t="s">
        <v>2943</v>
      </c>
      <c r="B61" s="61" t="s">
        <v>2942</v>
      </c>
      <c r="C61" s="55">
        <v>25.07</v>
      </c>
      <c r="D61" s="54"/>
      <c r="E61" s="54"/>
    </row>
    <row r="62" spans="1:5" ht="15" customHeight="1">
      <c r="A62" s="61" t="s">
        <v>2941</v>
      </c>
      <c r="B62" s="61" t="s">
        <v>2940</v>
      </c>
      <c r="C62" s="55">
        <v>41.94</v>
      </c>
      <c r="D62" s="54"/>
      <c r="E62" s="54"/>
    </row>
    <row r="63" spans="1:5" ht="15" customHeight="1">
      <c r="A63" s="61" t="s">
        <v>2939</v>
      </c>
      <c r="B63" s="61" t="s">
        <v>2938</v>
      </c>
      <c r="C63" s="55">
        <v>14.18</v>
      </c>
      <c r="D63" s="54"/>
      <c r="E63" s="54"/>
    </row>
    <row r="64" spans="1:5" ht="15" customHeight="1">
      <c r="A64" s="61" t="s">
        <v>2937</v>
      </c>
      <c r="B64" s="61" t="s">
        <v>2936</v>
      </c>
      <c r="C64" s="55">
        <v>16.72</v>
      </c>
      <c r="D64" s="54"/>
      <c r="E64" s="54"/>
    </row>
    <row r="65" spans="1:5" ht="15" customHeight="1">
      <c r="A65" s="61" t="s">
        <v>2935</v>
      </c>
      <c r="B65" s="61" t="s">
        <v>2934</v>
      </c>
      <c r="C65" s="55">
        <v>2100.48</v>
      </c>
      <c r="D65" s="54"/>
      <c r="E65" s="54"/>
    </row>
    <row r="66" spans="1:5" ht="15" customHeight="1">
      <c r="A66" s="61" t="s">
        <v>2933</v>
      </c>
      <c r="B66" s="61" t="s">
        <v>2932</v>
      </c>
      <c r="C66" s="55">
        <v>34.86</v>
      </c>
      <c r="D66" s="54"/>
      <c r="E66" s="54"/>
    </row>
    <row r="67" spans="1:5" ht="15" customHeight="1">
      <c r="A67" s="61" t="s">
        <v>2931</v>
      </c>
      <c r="B67" s="61" t="s">
        <v>2923</v>
      </c>
      <c r="C67" s="55">
        <v>38.979999999999997</v>
      </c>
      <c r="D67" s="54"/>
      <c r="E67" s="54"/>
    </row>
    <row r="68" spans="1:5" ht="15" customHeight="1">
      <c r="A68" s="61" t="s">
        <v>2930</v>
      </c>
      <c r="B68" s="61" t="s">
        <v>2929</v>
      </c>
      <c r="C68" s="55">
        <v>33.979999999999997</v>
      </c>
      <c r="D68" s="54"/>
      <c r="E68" s="54"/>
    </row>
    <row r="69" spans="1:5" ht="15" customHeight="1">
      <c r="A69" s="61" t="s">
        <v>2928</v>
      </c>
      <c r="B69" s="61" t="s">
        <v>2927</v>
      </c>
      <c r="C69" s="55">
        <v>15.72</v>
      </c>
      <c r="D69" s="54"/>
      <c r="E69" s="54"/>
    </row>
    <row r="70" spans="1:5" ht="15" customHeight="1">
      <c r="A70" s="61" t="s">
        <v>2926</v>
      </c>
      <c r="B70" s="61" t="s">
        <v>2925</v>
      </c>
      <c r="C70" s="55">
        <v>17.75</v>
      </c>
      <c r="D70" s="54"/>
      <c r="E70" s="54"/>
    </row>
    <row r="71" spans="1:5" ht="15" customHeight="1">
      <c r="A71" s="61" t="s">
        <v>2924</v>
      </c>
      <c r="B71" s="61" t="s">
        <v>2923</v>
      </c>
      <c r="C71" s="55">
        <v>37.18</v>
      </c>
      <c r="D71" s="54"/>
      <c r="E71" s="54"/>
    </row>
    <row r="72" spans="1:5" ht="15" customHeight="1">
      <c r="A72" s="61" t="s">
        <v>2922</v>
      </c>
      <c r="B72" s="61" t="s">
        <v>2921</v>
      </c>
      <c r="C72" s="55">
        <v>26</v>
      </c>
      <c r="D72" s="54"/>
      <c r="E72" s="54"/>
    </row>
    <row r="73" spans="1:5" ht="15" customHeight="1">
      <c r="A73" s="61" t="s">
        <v>2920</v>
      </c>
      <c r="B73" s="61" t="s">
        <v>2919</v>
      </c>
      <c r="C73" s="55">
        <v>38.29</v>
      </c>
      <c r="D73" s="54"/>
      <c r="E73" s="54"/>
    </row>
    <row r="74" spans="1:5" ht="15" customHeight="1">
      <c r="A74" s="61" t="s">
        <v>2918</v>
      </c>
      <c r="B74" s="61" t="s">
        <v>2917</v>
      </c>
      <c r="C74" s="55">
        <v>35.549999999999997</v>
      </c>
      <c r="D74" s="54"/>
      <c r="E74" s="54"/>
    </row>
    <row r="75" spans="1:5" ht="15" customHeight="1">
      <c r="A75" s="61" t="s">
        <v>2916</v>
      </c>
      <c r="B75" s="61" t="s">
        <v>2915</v>
      </c>
      <c r="C75" s="55">
        <v>33.78</v>
      </c>
      <c r="D75" s="54"/>
      <c r="E75" s="54"/>
    </row>
    <row r="76" spans="1:5" ht="15" customHeight="1">
      <c r="A76" s="61" t="s">
        <v>2914</v>
      </c>
      <c r="B76" s="61" t="s">
        <v>2913</v>
      </c>
      <c r="C76" s="55">
        <v>50.37</v>
      </c>
      <c r="D76" s="54"/>
      <c r="E76" s="54"/>
    </row>
    <row r="77" spans="1:5" ht="15" customHeight="1">
      <c r="A77" s="61" t="s">
        <v>2912</v>
      </c>
      <c r="B77" s="61" t="s">
        <v>2911</v>
      </c>
      <c r="C77" s="55">
        <v>4.37</v>
      </c>
      <c r="D77" s="54"/>
      <c r="E77" s="54"/>
    </row>
    <row r="78" spans="1:5" ht="15" customHeight="1">
      <c r="A78" s="61" t="s">
        <v>2910</v>
      </c>
      <c r="B78" s="61" t="s">
        <v>2909</v>
      </c>
      <c r="C78" s="55">
        <v>18.260000000000002</v>
      </c>
      <c r="D78" s="54"/>
      <c r="E78" s="54"/>
    </row>
    <row r="79" spans="1:5" ht="15" customHeight="1">
      <c r="A79" s="61" t="s">
        <v>2908</v>
      </c>
      <c r="B79" s="61" t="s">
        <v>2907</v>
      </c>
      <c r="C79" s="55">
        <v>6.45</v>
      </c>
      <c r="D79" s="54"/>
      <c r="E79" s="54"/>
    </row>
    <row r="80" spans="1:5" ht="15" customHeight="1">
      <c r="A80" s="61" t="s">
        <v>2906</v>
      </c>
      <c r="B80" s="61" t="s">
        <v>2905</v>
      </c>
      <c r="C80" s="55">
        <v>34.76</v>
      </c>
      <c r="D80" s="54"/>
      <c r="E80" s="54"/>
    </row>
    <row r="81" spans="1:5" ht="15" customHeight="1">
      <c r="A81" s="61" t="s">
        <v>2904</v>
      </c>
      <c r="B81" s="61" t="s">
        <v>2903</v>
      </c>
      <c r="C81" s="55">
        <v>20.34</v>
      </c>
      <c r="D81" s="54"/>
      <c r="E81" s="54"/>
    </row>
    <row r="82" spans="1:5" ht="15" customHeight="1">
      <c r="A82" s="61" t="s">
        <v>2902</v>
      </c>
      <c r="B82" s="61" t="s">
        <v>2901</v>
      </c>
      <c r="C82" s="55">
        <v>181.26</v>
      </c>
      <c r="D82" s="54"/>
      <c r="E82" s="54"/>
    </row>
    <row r="83" spans="1:5" ht="15" customHeight="1">
      <c r="A83" s="61" t="s">
        <v>2900</v>
      </c>
      <c r="B83" s="61" t="s">
        <v>2899</v>
      </c>
      <c r="C83" s="55">
        <v>12.61</v>
      </c>
      <c r="D83" s="54"/>
      <c r="E83" s="54"/>
    </row>
    <row r="84" spans="1:5" ht="15" customHeight="1">
      <c r="A84" s="61" t="s">
        <v>2898</v>
      </c>
      <c r="B84" s="61" t="s">
        <v>2897</v>
      </c>
      <c r="C84" s="55">
        <v>535.16</v>
      </c>
      <c r="D84" s="54"/>
      <c r="E84" s="54"/>
    </row>
    <row r="85" spans="1:5" ht="15" customHeight="1">
      <c r="A85" s="61" t="s">
        <v>2896</v>
      </c>
      <c r="B85" s="61" t="s">
        <v>2895</v>
      </c>
      <c r="C85" s="55">
        <v>1.64</v>
      </c>
      <c r="D85" s="54"/>
      <c r="E85" s="54"/>
    </row>
    <row r="86" spans="1:5" ht="15" customHeight="1">
      <c r="A86" s="61" t="s">
        <v>2894</v>
      </c>
      <c r="B86" s="61" t="s">
        <v>2893</v>
      </c>
      <c r="C86" s="55">
        <v>4.0199999999999996</v>
      </c>
      <c r="D86" s="54"/>
      <c r="E86" s="54"/>
    </row>
    <row r="87" spans="1:5" ht="15" customHeight="1">
      <c r="A87" s="61" t="s">
        <v>2892</v>
      </c>
      <c r="B87" s="61" t="s">
        <v>2891</v>
      </c>
      <c r="C87" s="55">
        <v>12.36</v>
      </c>
      <c r="D87" s="54"/>
      <c r="E87" s="54"/>
    </row>
    <row r="88" spans="1:5" ht="15" customHeight="1">
      <c r="A88" s="61" t="s">
        <v>2890</v>
      </c>
      <c r="B88" s="61" t="s">
        <v>2889</v>
      </c>
      <c r="C88" s="55">
        <v>5.36</v>
      </c>
      <c r="D88" s="54"/>
      <c r="E88" s="54"/>
    </row>
    <row r="89" spans="1:5" ht="15" customHeight="1">
      <c r="A89" s="61" t="s">
        <v>2888</v>
      </c>
      <c r="B89" s="61" t="s">
        <v>2887</v>
      </c>
      <c r="C89" s="55">
        <v>34.07</v>
      </c>
      <c r="D89" s="54"/>
      <c r="E89" s="54"/>
    </row>
    <row r="90" spans="1:5" ht="15" customHeight="1">
      <c r="A90" s="61" t="s">
        <v>2886</v>
      </c>
      <c r="B90" s="61" t="s">
        <v>2885</v>
      </c>
      <c r="C90" s="55">
        <v>5.3</v>
      </c>
      <c r="D90" s="54"/>
      <c r="E90" s="54"/>
    </row>
    <row r="91" spans="1:5" ht="15" customHeight="1">
      <c r="A91" s="61" t="s">
        <v>2884</v>
      </c>
      <c r="B91" s="61" t="s">
        <v>2883</v>
      </c>
      <c r="C91" s="55">
        <v>2.16</v>
      </c>
      <c r="D91" s="54"/>
      <c r="E91" s="54"/>
    </row>
    <row r="92" spans="1:5" ht="15" customHeight="1">
      <c r="A92" s="61" t="s">
        <v>2882</v>
      </c>
      <c r="B92" s="61" t="s">
        <v>2881</v>
      </c>
      <c r="C92" s="55">
        <v>8.0500000000000007</v>
      </c>
      <c r="D92" s="54"/>
      <c r="E92" s="54"/>
    </row>
    <row r="93" spans="1:5" ht="15" customHeight="1">
      <c r="A93" s="61" t="s">
        <v>2880</v>
      </c>
      <c r="B93" s="61" t="s">
        <v>2879</v>
      </c>
      <c r="C93" s="55">
        <v>71.430000000000007</v>
      </c>
      <c r="D93" s="54"/>
      <c r="E93" s="54"/>
    </row>
    <row r="94" spans="1:5" ht="15" customHeight="1">
      <c r="A94" s="61" t="s">
        <v>2878</v>
      </c>
      <c r="B94" s="61" t="s">
        <v>2877</v>
      </c>
      <c r="C94" s="55">
        <v>4.2</v>
      </c>
      <c r="D94" s="54"/>
      <c r="E94" s="54"/>
    </row>
    <row r="95" spans="1:5" ht="15" customHeight="1">
      <c r="A95" s="61" t="s">
        <v>2876</v>
      </c>
      <c r="B95" s="61" t="s">
        <v>2875</v>
      </c>
      <c r="C95" s="55">
        <v>105</v>
      </c>
      <c r="D95" s="54"/>
      <c r="E95" s="54"/>
    </row>
    <row r="96" spans="1:5" ht="15" customHeight="1">
      <c r="A96" s="61" t="s">
        <v>2874</v>
      </c>
      <c r="B96" s="61" t="s">
        <v>2870</v>
      </c>
      <c r="C96" s="55">
        <v>4.26</v>
      </c>
      <c r="D96" s="54"/>
      <c r="E96" s="54"/>
    </row>
    <row r="97" spans="1:5" ht="15" customHeight="1">
      <c r="A97" s="61" t="s">
        <v>2873</v>
      </c>
      <c r="B97" s="61" t="s">
        <v>2872</v>
      </c>
      <c r="C97" s="55">
        <v>1.97</v>
      </c>
      <c r="D97" s="54"/>
      <c r="E97" s="54"/>
    </row>
    <row r="98" spans="1:5" ht="15" customHeight="1">
      <c r="A98" s="61" t="s">
        <v>2871</v>
      </c>
      <c r="B98" s="61" t="s">
        <v>2870</v>
      </c>
      <c r="C98" s="55">
        <v>3.54</v>
      </c>
      <c r="D98" s="54"/>
      <c r="E98" s="54"/>
    </row>
    <row r="99" spans="1:5" ht="15" customHeight="1">
      <c r="A99" s="61" t="s">
        <v>2869</v>
      </c>
      <c r="B99" s="61" t="s">
        <v>2868</v>
      </c>
      <c r="C99" s="55">
        <v>28.1</v>
      </c>
      <c r="D99" s="54"/>
      <c r="E99" s="54"/>
    </row>
    <row r="100" spans="1:5" ht="15" customHeight="1">
      <c r="A100" s="61" t="s">
        <v>2867</v>
      </c>
      <c r="B100" s="61" t="s">
        <v>2866</v>
      </c>
      <c r="C100" s="55">
        <v>125.66</v>
      </c>
      <c r="D100" s="54"/>
      <c r="E100" s="54"/>
    </row>
    <row r="101" spans="1:5" ht="15" customHeight="1">
      <c r="A101" s="61" t="s">
        <v>2865</v>
      </c>
      <c r="B101" s="61" t="s">
        <v>2864</v>
      </c>
      <c r="C101" s="55">
        <v>91.79</v>
      </c>
      <c r="D101" s="54"/>
      <c r="E101" s="54"/>
    </row>
    <row r="102" spans="1:5" ht="15" customHeight="1">
      <c r="A102" s="61" t="s">
        <v>2863</v>
      </c>
      <c r="B102" s="61" t="s">
        <v>2862</v>
      </c>
      <c r="C102" s="55">
        <v>7.3</v>
      </c>
      <c r="D102" s="54"/>
      <c r="E102" s="54"/>
    </row>
    <row r="103" spans="1:5" ht="15" customHeight="1">
      <c r="A103" s="61" t="s">
        <v>2861</v>
      </c>
      <c r="B103" s="61" t="s">
        <v>2860</v>
      </c>
      <c r="C103" s="55">
        <v>119.62</v>
      </c>
      <c r="D103" s="54"/>
      <c r="E103" s="54"/>
    </row>
    <row r="104" spans="1:5" ht="15" customHeight="1">
      <c r="A104" s="61" t="s">
        <v>2859</v>
      </c>
      <c r="B104" s="61" t="s">
        <v>2858</v>
      </c>
      <c r="C104" s="55">
        <v>146.55000000000001</v>
      </c>
      <c r="D104" s="54"/>
      <c r="E104" s="54"/>
    </row>
    <row r="105" spans="1:5" ht="15" customHeight="1">
      <c r="A105" s="61" t="s">
        <v>2857</v>
      </c>
      <c r="B105" s="61" t="s">
        <v>2856</v>
      </c>
      <c r="C105" s="55">
        <v>142.27000000000001</v>
      </c>
      <c r="D105" s="54"/>
      <c r="E105" s="54"/>
    </row>
    <row r="106" spans="1:5" ht="15" customHeight="1">
      <c r="A106" s="61" t="s">
        <v>2855</v>
      </c>
      <c r="B106" s="61" t="s">
        <v>2854</v>
      </c>
      <c r="C106" s="55">
        <v>125.66</v>
      </c>
      <c r="D106" s="54"/>
      <c r="E106" s="54"/>
    </row>
    <row r="107" spans="1:5" ht="15" customHeight="1">
      <c r="A107" s="61" t="s">
        <v>2853</v>
      </c>
      <c r="B107" s="61" t="s">
        <v>2852</v>
      </c>
      <c r="C107" s="55">
        <v>138.13</v>
      </c>
      <c r="D107" s="54"/>
      <c r="E107" s="54"/>
    </row>
    <row r="108" spans="1:5" ht="15" customHeight="1">
      <c r="A108" s="61" t="s">
        <v>2851</v>
      </c>
      <c r="B108" s="61" t="s">
        <v>2850</v>
      </c>
      <c r="C108" s="55">
        <v>76.72</v>
      </c>
      <c r="D108" s="54"/>
      <c r="E108" s="54"/>
    </row>
    <row r="109" spans="1:5" ht="15" customHeight="1">
      <c r="A109" s="61" t="s">
        <v>2849</v>
      </c>
      <c r="B109" s="61" t="s">
        <v>2848</v>
      </c>
      <c r="C109" s="55">
        <v>149.99</v>
      </c>
      <c r="D109" s="54"/>
      <c r="E109" s="54"/>
    </row>
    <row r="110" spans="1:5" ht="15" customHeight="1">
      <c r="A110" s="61" t="s">
        <v>2847</v>
      </c>
      <c r="B110" s="61" t="s">
        <v>2846</v>
      </c>
      <c r="C110" s="55">
        <v>142.27000000000001</v>
      </c>
      <c r="D110" s="54"/>
      <c r="E110" s="54"/>
    </row>
    <row r="111" spans="1:5" ht="15" customHeight="1">
      <c r="A111" s="61" t="s">
        <v>2845</v>
      </c>
      <c r="B111" s="61" t="s">
        <v>2304</v>
      </c>
      <c r="C111" s="55">
        <v>91.94</v>
      </c>
      <c r="D111" s="54"/>
      <c r="E111" s="54"/>
    </row>
    <row r="112" spans="1:5" ht="15" customHeight="1">
      <c r="A112" s="61" t="s">
        <v>2844</v>
      </c>
      <c r="B112" s="61" t="s">
        <v>2843</v>
      </c>
      <c r="C112" s="55">
        <v>83.53</v>
      </c>
      <c r="D112" s="54"/>
      <c r="E112" s="54"/>
    </row>
    <row r="113" spans="1:5" ht="15" customHeight="1">
      <c r="A113" s="61" t="s">
        <v>2842</v>
      </c>
      <c r="B113" s="61" t="s">
        <v>2841</v>
      </c>
      <c r="C113" s="55">
        <v>150.94999999999999</v>
      </c>
      <c r="D113" s="54"/>
      <c r="E113" s="54"/>
    </row>
    <row r="114" spans="1:5" ht="15" customHeight="1">
      <c r="A114" s="61" t="s">
        <v>2840</v>
      </c>
      <c r="B114" s="61" t="s">
        <v>2838</v>
      </c>
      <c r="C114" s="55">
        <v>100.7</v>
      </c>
      <c r="D114" s="54"/>
      <c r="E114" s="54"/>
    </row>
    <row r="115" spans="1:5" ht="15" customHeight="1">
      <c r="A115" s="61" t="s">
        <v>2839</v>
      </c>
      <c r="B115" s="61" t="s">
        <v>2838</v>
      </c>
      <c r="C115" s="55">
        <v>100.72</v>
      </c>
      <c r="D115" s="54"/>
      <c r="E115" s="54"/>
    </row>
    <row r="116" spans="1:5" ht="15" customHeight="1">
      <c r="A116" s="61" t="s">
        <v>2837</v>
      </c>
      <c r="B116" s="61" t="s">
        <v>2836</v>
      </c>
      <c r="C116" s="55">
        <v>161.41</v>
      </c>
      <c r="D116" s="54"/>
      <c r="E116" s="54"/>
    </row>
    <row r="117" spans="1:5" ht="15" customHeight="1">
      <c r="A117" s="61" t="s">
        <v>2835</v>
      </c>
      <c r="B117" s="61" t="s">
        <v>2834</v>
      </c>
      <c r="C117" s="55">
        <v>201.65</v>
      </c>
      <c r="D117" s="54"/>
      <c r="E117" s="54"/>
    </row>
    <row r="118" spans="1:5" ht="15" customHeight="1">
      <c r="A118" s="61" t="s">
        <v>2833</v>
      </c>
      <c r="B118" s="61" t="s">
        <v>2553</v>
      </c>
      <c r="C118" s="55">
        <v>152.66</v>
      </c>
      <c r="D118" s="54"/>
      <c r="E118" s="54"/>
    </row>
    <row r="119" spans="1:5" ht="15" customHeight="1">
      <c r="A119" s="61" t="s">
        <v>2832</v>
      </c>
      <c r="B119" s="61" t="s">
        <v>2831</v>
      </c>
      <c r="C119" s="55">
        <v>121.04</v>
      </c>
      <c r="D119" s="54"/>
      <c r="E119" s="54"/>
    </row>
    <row r="120" spans="1:5" ht="15" customHeight="1">
      <c r="A120" s="61" t="s">
        <v>2830</v>
      </c>
      <c r="B120" s="61" t="s">
        <v>2829</v>
      </c>
      <c r="C120" s="55">
        <v>418.84</v>
      </c>
      <c r="D120" s="54"/>
      <c r="E120" s="54"/>
    </row>
    <row r="121" spans="1:5" ht="15" customHeight="1">
      <c r="A121" s="61" t="s">
        <v>2828</v>
      </c>
      <c r="B121" s="61" t="s">
        <v>2827</v>
      </c>
      <c r="C121" s="55">
        <v>31.99</v>
      </c>
      <c r="D121" s="54"/>
      <c r="E121" s="54"/>
    </row>
    <row r="122" spans="1:5" ht="15" customHeight="1">
      <c r="A122" s="61" t="s">
        <v>2826</v>
      </c>
      <c r="B122" s="61" t="s">
        <v>2825</v>
      </c>
      <c r="C122" s="55">
        <v>148.54</v>
      </c>
      <c r="D122" s="54"/>
      <c r="E122" s="54"/>
    </row>
    <row r="123" spans="1:5" ht="15" customHeight="1">
      <c r="A123" s="61" t="s">
        <v>2824</v>
      </c>
      <c r="B123" s="61" t="s">
        <v>2823</v>
      </c>
      <c r="C123" s="55">
        <v>64.680000000000007</v>
      </c>
      <c r="D123" s="54"/>
      <c r="E123" s="54"/>
    </row>
    <row r="124" spans="1:5" ht="15" customHeight="1">
      <c r="A124" s="61" t="s">
        <v>2822</v>
      </c>
      <c r="B124" s="61" t="s">
        <v>2821</v>
      </c>
      <c r="C124" s="55">
        <v>38.4</v>
      </c>
      <c r="D124" s="54"/>
      <c r="E124" s="54"/>
    </row>
    <row r="125" spans="1:5" ht="15" customHeight="1">
      <c r="A125" s="61" t="s">
        <v>2820</v>
      </c>
      <c r="B125" s="61" t="s">
        <v>2819</v>
      </c>
      <c r="C125" s="55">
        <v>93.21</v>
      </c>
      <c r="D125" s="54"/>
      <c r="E125" s="54"/>
    </row>
    <row r="126" spans="1:5" ht="15" customHeight="1">
      <c r="A126" s="61" t="s">
        <v>2818</v>
      </c>
      <c r="B126" s="61" t="s">
        <v>2817</v>
      </c>
      <c r="C126" s="55">
        <v>30</v>
      </c>
      <c r="D126" s="54"/>
      <c r="E126" s="54"/>
    </row>
    <row r="127" spans="1:5" ht="15" customHeight="1">
      <c r="A127" s="61" t="s">
        <v>2816</v>
      </c>
      <c r="B127" s="61" t="s">
        <v>2815</v>
      </c>
      <c r="C127" s="55">
        <v>48.95</v>
      </c>
      <c r="D127" s="54"/>
      <c r="E127" s="54"/>
    </row>
    <row r="128" spans="1:5" ht="15" customHeight="1">
      <c r="A128" s="61" t="s">
        <v>2814</v>
      </c>
      <c r="B128" s="61" t="s">
        <v>2813</v>
      </c>
      <c r="C128" s="55">
        <v>144</v>
      </c>
      <c r="D128" s="54"/>
      <c r="E128" s="54"/>
    </row>
    <row r="129" spans="1:5" ht="15" customHeight="1">
      <c r="A129" s="61" t="s">
        <v>2812</v>
      </c>
      <c r="B129" s="61" t="s">
        <v>2811</v>
      </c>
      <c r="C129" s="55">
        <v>526.29999999999995</v>
      </c>
      <c r="D129" s="54"/>
      <c r="E129" s="54"/>
    </row>
    <row r="130" spans="1:5" ht="15" customHeight="1">
      <c r="A130" s="61" t="s">
        <v>2810</v>
      </c>
      <c r="B130" s="61" t="s">
        <v>2809</v>
      </c>
      <c r="C130" s="55">
        <v>0.46</v>
      </c>
      <c r="D130" s="54"/>
      <c r="E130" s="54"/>
    </row>
    <row r="131" spans="1:5" ht="15" customHeight="1">
      <c r="A131" s="61" t="s">
        <v>2808</v>
      </c>
      <c r="B131" s="61" t="s">
        <v>2807</v>
      </c>
      <c r="C131" s="55">
        <v>84.56</v>
      </c>
      <c r="D131" s="54"/>
      <c r="E131" s="54"/>
    </row>
    <row r="132" spans="1:5" ht="15" customHeight="1">
      <c r="A132" s="61" t="s">
        <v>2806</v>
      </c>
      <c r="B132" s="61" t="s">
        <v>2805</v>
      </c>
      <c r="C132" s="55">
        <v>42.86</v>
      </c>
      <c r="D132" s="54"/>
      <c r="E132" s="54"/>
    </row>
    <row r="133" spans="1:5" ht="15" customHeight="1">
      <c r="A133" s="61" t="s">
        <v>2804</v>
      </c>
      <c r="B133" s="61" t="s">
        <v>2803</v>
      </c>
      <c r="C133" s="55">
        <v>39.799999999999997</v>
      </c>
      <c r="D133" s="54"/>
      <c r="E133" s="54"/>
    </row>
    <row r="134" spans="1:5" ht="15" customHeight="1">
      <c r="A134" s="61" t="s">
        <v>2802</v>
      </c>
      <c r="B134" s="61" t="s">
        <v>2801</v>
      </c>
      <c r="C134" s="55">
        <v>30.94</v>
      </c>
      <c r="D134" s="54"/>
      <c r="E134" s="54"/>
    </row>
    <row r="135" spans="1:5" ht="15" customHeight="1">
      <c r="A135" s="61" t="s">
        <v>2800</v>
      </c>
      <c r="B135" s="61" t="s">
        <v>2799</v>
      </c>
      <c r="C135" s="55">
        <v>83</v>
      </c>
      <c r="D135" s="54"/>
      <c r="E135" s="54"/>
    </row>
    <row r="136" spans="1:5" ht="15" customHeight="1">
      <c r="A136" s="61" t="s">
        <v>2798</v>
      </c>
      <c r="B136" s="61" t="s">
        <v>2797</v>
      </c>
      <c r="C136" s="55">
        <v>3.33</v>
      </c>
      <c r="D136" s="54"/>
      <c r="E136" s="54"/>
    </row>
    <row r="137" spans="1:5" ht="15" customHeight="1">
      <c r="A137" s="61" t="s">
        <v>2796</v>
      </c>
      <c r="B137" s="61" t="s">
        <v>2795</v>
      </c>
      <c r="C137" s="55">
        <v>82.14</v>
      </c>
      <c r="D137" s="54"/>
      <c r="E137" s="54"/>
    </row>
    <row r="138" spans="1:5" ht="15" customHeight="1">
      <c r="A138" s="61" t="s">
        <v>2794</v>
      </c>
      <c r="B138" s="61" t="s">
        <v>2793</v>
      </c>
      <c r="C138" s="55">
        <v>55.61</v>
      </c>
      <c r="D138" s="54"/>
      <c r="E138" s="54"/>
    </row>
    <row r="139" spans="1:5" ht="15" customHeight="1">
      <c r="A139" s="61" t="s">
        <v>2792</v>
      </c>
      <c r="B139" s="61" t="s">
        <v>2791</v>
      </c>
      <c r="C139" s="55">
        <v>44.92</v>
      </c>
      <c r="D139" s="54"/>
      <c r="E139" s="54"/>
    </row>
    <row r="140" spans="1:5" ht="15" customHeight="1">
      <c r="A140" s="61" t="s">
        <v>2790</v>
      </c>
      <c r="B140" s="61" t="s">
        <v>2789</v>
      </c>
      <c r="C140" s="55">
        <v>173.22</v>
      </c>
      <c r="D140" s="54"/>
      <c r="E140" s="54"/>
    </row>
    <row r="141" spans="1:5" ht="15" customHeight="1">
      <c r="A141" s="61" t="s">
        <v>2788</v>
      </c>
      <c r="B141" s="61" t="s">
        <v>2787</v>
      </c>
      <c r="C141" s="55">
        <v>69.47</v>
      </c>
      <c r="D141" s="54"/>
      <c r="E141" s="54"/>
    </row>
    <row r="142" spans="1:5" ht="15" customHeight="1">
      <c r="A142" s="61" t="s">
        <v>2786</v>
      </c>
      <c r="B142" s="61" t="s">
        <v>2785</v>
      </c>
      <c r="C142" s="55">
        <v>236.36</v>
      </c>
      <c r="D142" s="54"/>
      <c r="E142" s="54"/>
    </row>
    <row r="143" spans="1:5" ht="15" customHeight="1">
      <c r="A143" s="61" t="s">
        <v>2784</v>
      </c>
      <c r="B143" s="61" t="s">
        <v>2783</v>
      </c>
      <c r="C143" s="55">
        <v>42.66</v>
      </c>
      <c r="D143" s="54"/>
      <c r="E143" s="54"/>
    </row>
    <row r="144" spans="1:5" ht="15" customHeight="1">
      <c r="A144" s="61" t="s">
        <v>2782</v>
      </c>
      <c r="B144" s="61" t="s">
        <v>2781</v>
      </c>
      <c r="C144" s="55">
        <v>1.68</v>
      </c>
      <c r="D144" s="54"/>
      <c r="E144" s="54"/>
    </row>
    <row r="145" spans="1:5" ht="15" customHeight="1">
      <c r="A145" s="61" t="s">
        <v>2780</v>
      </c>
      <c r="B145" s="61" t="s">
        <v>2384</v>
      </c>
      <c r="C145" s="55">
        <v>23.16</v>
      </c>
      <c r="D145" s="54"/>
      <c r="E145" s="54"/>
    </row>
    <row r="146" spans="1:5" ht="15" customHeight="1">
      <c r="A146" s="61" t="s">
        <v>2779</v>
      </c>
      <c r="B146" s="61" t="s">
        <v>2778</v>
      </c>
      <c r="C146" s="55">
        <v>161.99</v>
      </c>
      <c r="D146" s="54"/>
      <c r="E146" s="54"/>
    </row>
    <row r="147" spans="1:5" ht="15" customHeight="1">
      <c r="A147" s="61" t="s">
        <v>2777</v>
      </c>
      <c r="B147" s="61" t="s">
        <v>2776</v>
      </c>
      <c r="C147" s="55">
        <v>161.99</v>
      </c>
      <c r="D147" s="54"/>
      <c r="E147" s="54"/>
    </row>
    <row r="148" spans="1:5" ht="15" customHeight="1">
      <c r="A148" s="61" t="s">
        <v>2775</v>
      </c>
      <c r="B148" s="61" t="s">
        <v>2774</v>
      </c>
      <c r="C148" s="55">
        <v>24.72</v>
      </c>
      <c r="D148" s="54"/>
      <c r="E148" s="54"/>
    </row>
    <row r="149" spans="1:5" ht="15" customHeight="1">
      <c r="A149" s="61" t="s">
        <v>2773</v>
      </c>
      <c r="B149" s="61" t="s">
        <v>2772</v>
      </c>
      <c r="C149" s="55">
        <v>195.08</v>
      </c>
      <c r="D149" s="54"/>
      <c r="E149" s="54"/>
    </row>
    <row r="150" spans="1:5" ht="15" customHeight="1">
      <c r="A150" s="61" t="s">
        <v>2771</v>
      </c>
      <c r="B150" s="61" t="s">
        <v>2770</v>
      </c>
      <c r="C150" s="55">
        <v>95.5</v>
      </c>
      <c r="D150" s="54"/>
      <c r="E150" s="54"/>
    </row>
    <row r="151" spans="1:5" ht="15" customHeight="1">
      <c r="A151" s="61" t="s">
        <v>2769</v>
      </c>
      <c r="B151" s="61" t="s">
        <v>2080</v>
      </c>
      <c r="C151" s="55">
        <v>16.95</v>
      </c>
      <c r="D151" s="54"/>
      <c r="E151" s="54"/>
    </row>
    <row r="152" spans="1:5" ht="15" customHeight="1">
      <c r="A152" s="61" t="s">
        <v>2768</v>
      </c>
      <c r="B152" s="61" t="s">
        <v>2767</v>
      </c>
      <c r="C152" s="55">
        <v>124.21</v>
      </c>
      <c r="D152" s="54"/>
      <c r="E152" s="54"/>
    </row>
    <row r="153" spans="1:5" ht="15" customHeight="1">
      <c r="A153" s="61" t="s">
        <v>2766</v>
      </c>
      <c r="B153" s="61" t="s">
        <v>2765</v>
      </c>
      <c r="C153" s="55">
        <v>81.430000000000007</v>
      </c>
      <c r="D153" s="54"/>
      <c r="E153" s="54"/>
    </row>
    <row r="154" spans="1:5" ht="15" customHeight="1">
      <c r="A154" s="61" t="s">
        <v>2764</v>
      </c>
      <c r="B154" s="61" t="s">
        <v>2763</v>
      </c>
      <c r="C154" s="55">
        <v>2.21</v>
      </c>
      <c r="D154" s="54"/>
      <c r="E154" s="54"/>
    </row>
    <row r="155" spans="1:5" ht="15" customHeight="1">
      <c r="A155" s="61" t="s">
        <v>2762</v>
      </c>
      <c r="B155" s="61" t="s">
        <v>2761</v>
      </c>
      <c r="C155" s="55">
        <v>1.9</v>
      </c>
      <c r="D155" s="54"/>
      <c r="E155" s="54"/>
    </row>
    <row r="156" spans="1:5" ht="15" customHeight="1">
      <c r="A156" s="61" t="s">
        <v>2760</v>
      </c>
      <c r="B156" s="61" t="s">
        <v>2759</v>
      </c>
      <c r="C156" s="55">
        <v>781.42</v>
      </c>
      <c r="D156" s="54"/>
      <c r="E156" s="54"/>
    </row>
    <row r="157" spans="1:5" ht="15" customHeight="1">
      <c r="A157" s="61" t="s">
        <v>2758</v>
      </c>
      <c r="B157" s="61" t="s">
        <v>2757</v>
      </c>
      <c r="C157" s="55">
        <v>33.42</v>
      </c>
      <c r="D157" s="54"/>
      <c r="E157" s="54"/>
    </row>
    <row r="158" spans="1:5" ht="15" customHeight="1">
      <c r="A158" s="61" t="s">
        <v>2756</v>
      </c>
      <c r="B158" s="61" t="s">
        <v>2755</v>
      </c>
      <c r="C158" s="55">
        <v>606.22</v>
      </c>
      <c r="D158" s="54"/>
      <c r="E158" s="54"/>
    </row>
    <row r="159" spans="1:5" ht="15" customHeight="1">
      <c r="A159" s="61" t="s">
        <v>2754</v>
      </c>
      <c r="B159" s="61" t="s">
        <v>2753</v>
      </c>
      <c r="C159" s="55">
        <v>36.9</v>
      </c>
      <c r="D159" s="54"/>
      <c r="E159" s="54"/>
    </row>
    <row r="160" spans="1:5" ht="15" customHeight="1">
      <c r="A160" s="61" t="s">
        <v>2752</v>
      </c>
      <c r="B160" s="61" t="s">
        <v>2751</v>
      </c>
      <c r="C160" s="55">
        <v>91.29</v>
      </c>
      <c r="D160" s="54"/>
      <c r="E160" s="54"/>
    </row>
    <row r="161" spans="1:5" ht="15" customHeight="1">
      <c r="A161" s="61" t="s">
        <v>2750</v>
      </c>
      <c r="B161" s="61" t="s">
        <v>2749</v>
      </c>
      <c r="C161" s="55">
        <v>22.21</v>
      </c>
      <c r="D161" s="54"/>
      <c r="E161" s="54"/>
    </row>
    <row r="162" spans="1:5" ht="15" customHeight="1">
      <c r="A162" s="61" t="s">
        <v>2748</v>
      </c>
      <c r="B162" s="61" t="s">
        <v>2747</v>
      </c>
      <c r="C162" s="55">
        <v>195</v>
      </c>
      <c r="D162" s="54"/>
      <c r="E162" s="54"/>
    </row>
    <row r="163" spans="1:5" ht="15" customHeight="1">
      <c r="A163" s="61" t="s">
        <v>2746</v>
      </c>
      <c r="B163" s="61" t="s">
        <v>2745</v>
      </c>
      <c r="C163" s="55">
        <v>825.6</v>
      </c>
      <c r="D163" s="54"/>
      <c r="E163" s="54"/>
    </row>
    <row r="164" spans="1:5" ht="15" customHeight="1">
      <c r="A164" s="61" t="s">
        <v>2744</v>
      </c>
      <c r="B164" s="61" t="s">
        <v>2358</v>
      </c>
      <c r="C164" s="55">
        <v>482.98</v>
      </c>
      <c r="D164" s="54"/>
      <c r="E164" s="54"/>
    </row>
    <row r="165" spans="1:5" ht="15" customHeight="1">
      <c r="A165" s="61" t="s">
        <v>2743</v>
      </c>
      <c r="B165" s="61" t="s">
        <v>2742</v>
      </c>
      <c r="C165" s="55">
        <v>330</v>
      </c>
      <c r="D165" s="54"/>
      <c r="E165" s="54"/>
    </row>
    <row r="166" spans="1:5" ht="15" customHeight="1">
      <c r="A166" s="61" t="s">
        <v>2741</v>
      </c>
      <c r="B166" s="61" t="s">
        <v>2740</v>
      </c>
      <c r="C166" s="55">
        <v>155.27000000000001</v>
      </c>
      <c r="D166" s="54"/>
      <c r="E166" s="54"/>
    </row>
    <row r="167" spans="1:5" ht="15" customHeight="1">
      <c r="A167" s="61" t="s">
        <v>2739</v>
      </c>
      <c r="B167" s="61" t="s">
        <v>2738</v>
      </c>
      <c r="C167" s="55">
        <v>231.2</v>
      </c>
      <c r="D167" s="54"/>
      <c r="E167" s="54"/>
    </row>
    <row r="168" spans="1:5" ht="15" customHeight="1">
      <c r="A168" s="61" t="s">
        <v>2737</v>
      </c>
      <c r="B168" s="61" t="s">
        <v>2736</v>
      </c>
      <c r="C168" s="55">
        <v>168.48</v>
      </c>
      <c r="D168" s="54"/>
      <c r="E168" s="54"/>
    </row>
    <row r="169" spans="1:5" ht="15" customHeight="1">
      <c r="A169" s="61" t="s">
        <v>2735</v>
      </c>
      <c r="B169" s="61" t="s">
        <v>2734</v>
      </c>
      <c r="C169" s="55">
        <v>148.01</v>
      </c>
      <c r="D169" s="54"/>
      <c r="E169" s="54"/>
    </row>
    <row r="170" spans="1:5" ht="15" customHeight="1">
      <c r="A170" s="61" t="s">
        <v>2733</v>
      </c>
      <c r="B170" s="61" t="s">
        <v>2732</v>
      </c>
      <c r="C170" s="55">
        <v>83.65</v>
      </c>
      <c r="D170" s="54"/>
      <c r="E170" s="54"/>
    </row>
    <row r="171" spans="1:5" ht="15" customHeight="1">
      <c r="A171" s="61" t="s">
        <v>2731</v>
      </c>
      <c r="B171" s="61" t="s">
        <v>2730</v>
      </c>
      <c r="C171" s="55">
        <v>276.85000000000002</v>
      </c>
      <c r="D171" s="54"/>
      <c r="E171" s="54"/>
    </row>
    <row r="172" spans="1:5" ht="15" customHeight="1">
      <c r="A172" s="61" t="s">
        <v>2729</v>
      </c>
      <c r="B172" s="61" t="s">
        <v>2728</v>
      </c>
      <c r="C172" s="55">
        <v>415.8</v>
      </c>
      <c r="D172" s="54"/>
      <c r="E172" s="54"/>
    </row>
    <row r="173" spans="1:5" ht="15" customHeight="1">
      <c r="A173" s="61" t="s">
        <v>2727</v>
      </c>
      <c r="B173" s="61" t="s">
        <v>2726</v>
      </c>
      <c r="C173" s="55">
        <v>56.35</v>
      </c>
      <c r="D173" s="54"/>
      <c r="E173" s="54"/>
    </row>
    <row r="174" spans="1:5" ht="15" customHeight="1">
      <c r="A174" s="61" t="s">
        <v>2725</v>
      </c>
      <c r="B174" s="61" t="s">
        <v>2724</v>
      </c>
      <c r="C174" s="55">
        <v>338.23</v>
      </c>
      <c r="D174" s="54"/>
      <c r="E174" s="54"/>
    </row>
    <row r="175" spans="1:5" ht="15" customHeight="1">
      <c r="A175" s="61" t="s">
        <v>2723</v>
      </c>
      <c r="B175" s="61" t="s">
        <v>2722</v>
      </c>
      <c r="C175" s="55">
        <v>884.65</v>
      </c>
      <c r="D175" s="54"/>
      <c r="E175" s="54"/>
    </row>
    <row r="176" spans="1:5" ht="15" customHeight="1">
      <c r="A176" s="61" t="s">
        <v>2721</v>
      </c>
      <c r="B176" s="61" t="s">
        <v>2720</v>
      </c>
      <c r="C176" s="55">
        <v>420.41</v>
      </c>
      <c r="D176" s="54"/>
      <c r="E176" s="54"/>
    </row>
    <row r="177" spans="1:5" ht="15" customHeight="1">
      <c r="A177" s="61" t="s">
        <v>2719</v>
      </c>
      <c r="B177" s="61" t="s">
        <v>2718</v>
      </c>
      <c r="C177" s="55">
        <v>528.46</v>
      </c>
      <c r="D177" s="54"/>
      <c r="E177" s="54"/>
    </row>
    <row r="178" spans="1:5" ht="15" customHeight="1">
      <c r="A178" s="61" t="s">
        <v>2717</v>
      </c>
      <c r="B178" s="61" t="s">
        <v>2716</v>
      </c>
      <c r="C178" s="55">
        <v>175</v>
      </c>
      <c r="D178" s="54"/>
      <c r="E178" s="54"/>
    </row>
    <row r="179" spans="1:5" ht="15" customHeight="1">
      <c r="A179" s="61" t="s">
        <v>2715</v>
      </c>
      <c r="B179" s="61" t="s">
        <v>2714</v>
      </c>
      <c r="C179" s="55">
        <v>667.72</v>
      </c>
      <c r="D179" s="54"/>
      <c r="E179" s="54"/>
    </row>
    <row r="180" spans="1:5" ht="15" customHeight="1">
      <c r="A180" s="61" t="s">
        <v>2713</v>
      </c>
      <c r="B180" s="61" t="s">
        <v>2712</v>
      </c>
      <c r="C180" s="55">
        <v>97.29</v>
      </c>
      <c r="D180" s="54"/>
      <c r="E180" s="54"/>
    </row>
    <row r="181" spans="1:5" ht="15" customHeight="1">
      <c r="A181" s="61" t="s">
        <v>2711</v>
      </c>
      <c r="B181" s="61" t="s">
        <v>2710</v>
      </c>
      <c r="C181" s="55">
        <v>45.09</v>
      </c>
      <c r="D181" s="54"/>
      <c r="E181" s="54"/>
    </row>
    <row r="182" spans="1:5" ht="15" customHeight="1">
      <c r="A182" s="61" t="s">
        <v>2709</v>
      </c>
      <c r="B182" s="61" t="s">
        <v>2521</v>
      </c>
      <c r="C182" s="55">
        <v>600</v>
      </c>
      <c r="D182" s="54"/>
      <c r="E182" s="54"/>
    </row>
    <row r="183" spans="1:5" ht="15" customHeight="1">
      <c r="A183" s="61" t="s">
        <v>2708</v>
      </c>
      <c r="B183" s="61" t="s">
        <v>2707</v>
      </c>
      <c r="C183" s="55">
        <v>340.5</v>
      </c>
      <c r="D183" s="54"/>
      <c r="E183" s="54"/>
    </row>
    <row r="184" spans="1:5" ht="15" customHeight="1">
      <c r="A184" s="61" t="s">
        <v>2706</v>
      </c>
      <c r="B184" s="61" t="s">
        <v>2705</v>
      </c>
      <c r="C184" s="55">
        <v>21.74</v>
      </c>
      <c r="D184" s="54"/>
      <c r="E184" s="54"/>
    </row>
    <row r="185" spans="1:5" ht="15" customHeight="1">
      <c r="A185" s="61" t="s">
        <v>2704</v>
      </c>
      <c r="B185" s="61" t="s">
        <v>2702</v>
      </c>
      <c r="C185" s="55">
        <v>155.28</v>
      </c>
      <c r="D185" s="54"/>
      <c r="E185" s="54"/>
    </row>
    <row r="186" spans="1:5" ht="15" customHeight="1">
      <c r="A186" s="61" t="s">
        <v>2703</v>
      </c>
      <c r="B186" s="61" t="s">
        <v>2702</v>
      </c>
      <c r="C186" s="55">
        <v>155.28</v>
      </c>
      <c r="D186" s="54"/>
      <c r="E186" s="54"/>
    </row>
    <row r="187" spans="1:5" ht="15" customHeight="1">
      <c r="A187" s="61" t="s">
        <v>2701</v>
      </c>
      <c r="B187" s="61" t="s">
        <v>2700</v>
      </c>
      <c r="C187" s="55">
        <v>12.55</v>
      </c>
      <c r="D187" s="54"/>
      <c r="E187" s="54"/>
    </row>
    <row r="188" spans="1:5" ht="15" customHeight="1">
      <c r="A188" s="61" t="s">
        <v>2699</v>
      </c>
      <c r="B188" s="61" t="s">
        <v>2698</v>
      </c>
      <c r="C188" s="55">
        <v>384.52</v>
      </c>
      <c r="D188" s="54"/>
      <c r="E188" s="54"/>
    </row>
    <row r="189" spans="1:5" ht="15" customHeight="1">
      <c r="A189" s="61" t="s">
        <v>2697</v>
      </c>
      <c r="B189" s="61" t="s">
        <v>2696</v>
      </c>
      <c r="C189" s="55">
        <v>336</v>
      </c>
      <c r="D189" s="54"/>
      <c r="E189" s="54"/>
    </row>
    <row r="190" spans="1:5" ht="15" customHeight="1">
      <c r="A190" s="61" t="s">
        <v>2695</v>
      </c>
      <c r="B190" s="61" t="s">
        <v>2694</v>
      </c>
      <c r="C190" s="55">
        <v>288.27999999999997</v>
      </c>
      <c r="D190" s="54"/>
      <c r="E190" s="54"/>
    </row>
    <row r="191" spans="1:5" ht="15" customHeight="1">
      <c r="A191" s="61" t="s">
        <v>2693</v>
      </c>
      <c r="B191" s="61" t="s">
        <v>2692</v>
      </c>
      <c r="C191" s="55">
        <v>454.21</v>
      </c>
      <c r="D191" s="54"/>
      <c r="E191" s="54"/>
    </row>
    <row r="192" spans="1:5" ht="15" customHeight="1">
      <c r="A192" s="61" t="s">
        <v>2691</v>
      </c>
      <c r="B192" s="61" t="s">
        <v>2690</v>
      </c>
      <c r="C192" s="55">
        <v>325.66000000000003</v>
      </c>
      <c r="D192" s="54"/>
      <c r="E192" s="54"/>
    </row>
    <row r="193" spans="1:5" ht="15" customHeight="1">
      <c r="A193" s="61" t="s">
        <v>2689</v>
      </c>
      <c r="B193" s="61" t="s">
        <v>2688</v>
      </c>
      <c r="C193" s="55">
        <v>42.37</v>
      </c>
      <c r="D193" s="54"/>
      <c r="E193" s="54"/>
    </row>
    <row r="194" spans="1:5" ht="15" customHeight="1">
      <c r="A194" s="61" t="s">
        <v>2687</v>
      </c>
      <c r="B194" s="61" t="s">
        <v>2686</v>
      </c>
      <c r="C194" s="55">
        <v>8.6999999999999993</v>
      </c>
      <c r="D194" s="54"/>
      <c r="E194" s="54"/>
    </row>
    <row r="195" spans="1:5" ht="15" customHeight="1">
      <c r="A195" s="61" t="s">
        <v>2685</v>
      </c>
      <c r="B195" s="61" t="s">
        <v>2684</v>
      </c>
      <c r="C195" s="55">
        <v>256</v>
      </c>
      <c r="D195" s="54"/>
      <c r="E195" s="54"/>
    </row>
    <row r="196" spans="1:5" ht="15" customHeight="1">
      <c r="A196" s="61" t="s">
        <v>2683</v>
      </c>
      <c r="B196" s="61" t="s">
        <v>2682</v>
      </c>
      <c r="C196" s="55">
        <v>340.8</v>
      </c>
      <c r="D196" s="54"/>
      <c r="E196" s="54"/>
    </row>
    <row r="197" spans="1:5" ht="15" customHeight="1">
      <c r="A197" s="61" t="s">
        <v>2681</v>
      </c>
      <c r="B197" s="61" t="s">
        <v>2680</v>
      </c>
      <c r="C197" s="55">
        <v>32.729999999999997</v>
      </c>
      <c r="D197" s="54"/>
      <c r="E197" s="54"/>
    </row>
    <row r="198" spans="1:5" ht="15" customHeight="1">
      <c r="A198" s="61" t="s">
        <v>2679</v>
      </c>
      <c r="B198" s="61" t="s">
        <v>2678</v>
      </c>
      <c r="C198" s="55">
        <v>13.87</v>
      </c>
      <c r="D198" s="54"/>
      <c r="E198" s="54"/>
    </row>
    <row r="199" spans="1:5" ht="15" customHeight="1">
      <c r="A199" s="61" t="s">
        <v>2677</v>
      </c>
      <c r="B199" s="61" t="s">
        <v>2676</v>
      </c>
      <c r="C199" s="55">
        <v>77.73</v>
      </c>
      <c r="D199" s="54"/>
      <c r="E199" s="54"/>
    </row>
    <row r="200" spans="1:5" ht="15" customHeight="1">
      <c r="A200" s="61" t="s">
        <v>2675</v>
      </c>
      <c r="B200" s="61" t="s">
        <v>2674</v>
      </c>
      <c r="C200" s="55">
        <v>4.6500000000000004</v>
      </c>
      <c r="D200" s="54"/>
      <c r="E200" s="54"/>
    </row>
    <row r="201" spans="1:5" ht="15" customHeight="1">
      <c r="A201" s="61" t="s">
        <v>2673</v>
      </c>
      <c r="B201" s="61" t="s">
        <v>2672</v>
      </c>
      <c r="C201" s="55">
        <v>105.78</v>
      </c>
      <c r="D201" s="54"/>
      <c r="E201" s="54"/>
    </row>
    <row r="202" spans="1:5" ht="15" customHeight="1">
      <c r="A202" s="61" t="s">
        <v>2671</v>
      </c>
      <c r="B202" s="61" t="s">
        <v>2364</v>
      </c>
      <c r="C202" s="55">
        <v>16.420000000000002</v>
      </c>
      <c r="D202" s="54"/>
      <c r="E202" s="54"/>
    </row>
    <row r="203" spans="1:5" ht="15" customHeight="1">
      <c r="A203" s="61" t="s">
        <v>2670</v>
      </c>
      <c r="B203" s="61" t="s">
        <v>2669</v>
      </c>
      <c r="C203" s="55">
        <v>3.09</v>
      </c>
      <c r="D203" s="54"/>
      <c r="E203" s="54"/>
    </row>
    <row r="204" spans="1:5" ht="15" customHeight="1">
      <c r="A204" s="61" t="s">
        <v>2668</v>
      </c>
      <c r="B204" s="61" t="s">
        <v>2667</v>
      </c>
      <c r="C204" s="55">
        <v>63.48</v>
      </c>
      <c r="D204" s="54"/>
      <c r="E204" s="54"/>
    </row>
    <row r="205" spans="1:5" ht="15" customHeight="1">
      <c r="A205" s="61" t="s">
        <v>2666</v>
      </c>
      <c r="B205" s="61" t="s">
        <v>2665</v>
      </c>
      <c r="C205" s="55">
        <v>1610.46</v>
      </c>
      <c r="D205" s="54"/>
      <c r="E205" s="54"/>
    </row>
    <row r="206" spans="1:5" ht="15" customHeight="1">
      <c r="A206" s="61" t="s">
        <v>2664</v>
      </c>
      <c r="B206" s="61" t="s">
        <v>2663</v>
      </c>
      <c r="C206" s="55">
        <v>329.12</v>
      </c>
      <c r="D206" s="54"/>
      <c r="E206" s="54"/>
    </row>
    <row r="207" spans="1:5" ht="15" customHeight="1">
      <c r="A207" s="61" t="s">
        <v>2662</v>
      </c>
      <c r="B207" s="61" t="s">
        <v>2661</v>
      </c>
      <c r="C207" s="55">
        <v>533.44000000000005</v>
      </c>
      <c r="D207" s="54"/>
      <c r="E207" s="54"/>
    </row>
    <row r="208" spans="1:5" ht="15" customHeight="1">
      <c r="A208" s="61" t="s">
        <v>2660</v>
      </c>
      <c r="B208" s="61" t="s">
        <v>2659</v>
      </c>
      <c r="C208" s="55">
        <v>65.48</v>
      </c>
      <c r="D208" s="54"/>
      <c r="E208" s="54"/>
    </row>
    <row r="209" spans="1:5" ht="15" customHeight="1">
      <c r="A209" s="61" t="s">
        <v>2658</v>
      </c>
      <c r="B209" s="61" t="s">
        <v>2657</v>
      </c>
      <c r="C209" s="55">
        <v>45.68</v>
      </c>
      <c r="D209" s="54"/>
      <c r="E209" s="54"/>
    </row>
    <row r="210" spans="1:5" ht="15" customHeight="1">
      <c r="A210" s="61" t="s">
        <v>2656</v>
      </c>
      <c r="B210" s="61" t="s">
        <v>2655</v>
      </c>
      <c r="C210" s="55">
        <v>41.82</v>
      </c>
      <c r="D210" s="54"/>
      <c r="E210" s="54"/>
    </row>
    <row r="211" spans="1:5" ht="15" customHeight="1">
      <c r="A211" s="61" t="s">
        <v>2654</v>
      </c>
      <c r="B211" s="61" t="s">
        <v>2653</v>
      </c>
      <c r="C211" s="55">
        <v>133.71</v>
      </c>
      <c r="D211" s="54"/>
      <c r="E211" s="54"/>
    </row>
    <row r="212" spans="1:5" ht="15" customHeight="1">
      <c r="A212" s="61" t="s">
        <v>2652</v>
      </c>
      <c r="B212" s="61" t="s">
        <v>2651</v>
      </c>
      <c r="C212" s="55">
        <v>303.83999999999997</v>
      </c>
      <c r="D212" s="54"/>
      <c r="E212" s="54"/>
    </row>
    <row r="213" spans="1:5" ht="15" customHeight="1">
      <c r="A213" s="61" t="s">
        <v>2650</v>
      </c>
      <c r="B213" s="61" t="s">
        <v>2649</v>
      </c>
      <c r="C213" s="55">
        <v>161.38</v>
      </c>
      <c r="D213" s="54"/>
      <c r="E213" s="54"/>
    </row>
    <row r="214" spans="1:5" ht="15" customHeight="1">
      <c r="A214" s="61" t="s">
        <v>2648</v>
      </c>
      <c r="B214" s="61" t="s">
        <v>2647</v>
      </c>
      <c r="C214" s="55">
        <v>630</v>
      </c>
      <c r="D214" s="54"/>
      <c r="E214" s="54"/>
    </row>
    <row r="215" spans="1:5" ht="15" customHeight="1">
      <c r="A215" s="61" t="s">
        <v>2646</v>
      </c>
      <c r="B215" s="61" t="s">
        <v>2645</v>
      </c>
      <c r="C215" s="55">
        <v>189.82</v>
      </c>
      <c r="D215" s="54"/>
      <c r="E215" s="54"/>
    </row>
    <row r="216" spans="1:5" ht="15" customHeight="1">
      <c r="A216" s="61" t="s">
        <v>2644</v>
      </c>
      <c r="B216" s="61" t="s">
        <v>2643</v>
      </c>
      <c r="C216" s="55">
        <v>359.66</v>
      </c>
      <c r="D216" s="54"/>
      <c r="E216" s="54"/>
    </row>
    <row r="217" spans="1:5" ht="15" customHeight="1">
      <c r="A217" s="61" t="s">
        <v>2642</v>
      </c>
      <c r="B217" s="61" t="s">
        <v>2641</v>
      </c>
      <c r="C217" s="55">
        <v>237.67</v>
      </c>
      <c r="D217" s="54"/>
      <c r="E217" s="54"/>
    </row>
    <row r="218" spans="1:5" ht="15" customHeight="1">
      <c r="A218" s="61" t="s">
        <v>2640</v>
      </c>
      <c r="B218" s="61" t="s">
        <v>2638</v>
      </c>
      <c r="C218" s="55">
        <v>75.38</v>
      </c>
      <c r="D218" s="54"/>
      <c r="E218" s="54"/>
    </row>
    <row r="219" spans="1:5" ht="15" customHeight="1">
      <c r="A219" s="61" t="s">
        <v>2639</v>
      </c>
      <c r="B219" s="61" t="s">
        <v>2638</v>
      </c>
      <c r="C219" s="55">
        <v>102.98</v>
      </c>
      <c r="D219" s="54"/>
      <c r="E219" s="54"/>
    </row>
    <row r="220" spans="1:5" ht="15" customHeight="1">
      <c r="A220" s="61" t="s">
        <v>2637</v>
      </c>
      <c r="B220" s="61" t="s">
        <v>2588</v>
      </c>
      <c r="C220" s="55">
        <v>52.19</v>
      </c>
      <c r="D220" s="54"/>
      <c r="E220" s="54"/>
    </row>
    <row r="221" spans="1:5" ht="15" customHeight="1">
      <c r="A221" s="61" t="s">
        <v>2636</v>
      </c>
      <c r="B221" s="61" t="s">
        <v>2635</v>
      </c>
      <c r="C221" s="55">
        <v>26</v>
      </c>
      <c r="D221" s="54"/>
      <c r="E221" s="54"/>
    </row>
    <row r="222" spans="1:5" ht="15" customHeight="1">
      <c r="A222" s="61" t="s">
        <v>2634</v>
      </c>
      <c r="B222" s="61" t="s">
        <v>2633</v>
      </c>
      <c r="C222" s="55">
        <v>145.77000000000001</v>
      </c>
      <c r="D222" s="54"/>
      <c r="E222" s="54"/>
    </row>
    <row r="223" spans="1:5" ht="15" customHeight="1">
      <c r="A223" s="61" t="s">
        <v>2632</v>
      </c>
      <c r="B223" s="61" t="s">
        <v>2631</v>
      </c>
      <c r="C223" s="55">
        <v>82.87</v>
      </c>
      <c r="D223" s="54"/>
      <c r="E223" s="54"/>
    </row>
    <row r="224" spans="1:5" ht="15" customHeight="1">
      <c r="A224" s="61" t="s">
        <v>2630</v>
      </c>
      <c r="B224" s="61" t="s">
        <v>2629</v>
      </c>
      <c r="C224" s="55">
        <v>42.59</v>
      </c>
      <c r="D224" s="54"/>
      <c r="E224" s="54"/>
    </row>
    <row r="225" spans="1:5" ht="15" customHeight="1">
      <c r="A225" s="61" t="s">
        <v>2628</v>
      </c>
      <c r="B225" s="61" t="s">
        <v>2627</v>
      </c>
      <c r="C225" s="55">
        <v>158.76</v>
      </c>
      <c r="D225" s="54"/>
      <c r="E225" s="54"/>
    </row>
    <row r="226" spans="1:5" ht="15" customHeight="1">
      <c r="A226" s="61" t="s">
        <v>2626</v>
      </c>
      <c r="B226" s="61" t="s">
        <v>2625</v>
      </c>
      <c r="C226" s="55">
        <v>158.76</v>
      </c>
      <c r="D226" s="54"/>
      <c r="E226" s="54"/>
    </row>
    <row r="227" spans="1:5" ht="15" customHeight="1">
      <c r="A227" s="61" t="s">
        <v>2624</v>
      </c>
      <c r="B227" s="61" t="s">
        <v>2623</v>
      </c>
      <c r="C227" s="55">
        <v>120</v>
      </c>
      <c r="D227" s="54"/>
      <c r="E227" s="54"/>
    </row>
    <row r="228" spans="1:5" ht="15" customHeight="1">
      <c r="A228" s="61" t="s">
        <v>2622</v>
      </c>
      <c r="B228" s="61" t="s">
        <v>2621</v>
      </c>
      <c r="C228" s="55">
        <v>158.76</v>
      </c>
      <c r="D228" s="54"/>
      <c r="E228" s="54"/>
    </row>
    <row r="229" spans="1:5" ht="15" customHeight="1">
      <c r="A229" s="61" t="s">
        <v>2620</v>
      </c>
      <c r="B229" s="61" t="s">
        <v>2619</v>
      </c>
      <c r="C229" s="55">
        <v>360</v>
      </c>
      <c r="D229" s="54"/>
      <c r="E229" s="54"/>
    </row>
    <row r="230" spans="1:5" ht="15" customHeight="1">
      <c r="A230" s="61" t="s">
        <v>2618</v>
      </c>
      <c r="B230" s="61" t="s">
        <v>2617</v>
      </c>
      <c r="C230" s="55">
        <v>1173.1500000000001</v>
      </c>
      <c r="D230" s="54"/>
      <c r="E230" s="54"/>
    </row>
    <row r="231" spans="1:5" ht="15" customHeight="1">
      <c r="A231" s="61" t="s">
        <v>2616</v>
      </c>
      <c r="B231" s="61" t="s">
        <v>2615</v>
      </c>
      <c r="C231" s="55">
        <v>499.69</v>
      </c>
      <c r="D231" s="54"/>
      <c r="E231" s="54"/>
    </row>
    <row r="232" spans="1:5" ht="15" customHeight="1">
      <c r="A232" s="61" t="s">
        <v>2614</v>
      </c>
      <c r="B232" s="61" t="s">
        <v>2613</v>
      </c>
      <c r="C232" s="55">
        <v>15.02</v>
      </c>
      <c r="D232" s="54"/>
      <c r="E232" s="54"/>
    </row>
    <row r="233" spans="1:5" ht="15" customHeight="1">
      <c r="A233" s="61" t="s">
        <v>2612</v>
      </c>
      <c r="B233" s="61" t="s">
        <v>2611</v>
      </c>
      <c r="C233" s="55">
        <v>42.96</v>
      </c>
      <c r="D233" s="54"/>
      <c r="E233" s="54"/>
    </row>
    <row r="234" spans="1:5" ht="15" customHeight="1">
      <c r="A234" s="61" t="s">
        <v>2610</v>
      </c>
      <c r="B234" s="61" t="s">
        <v>2609</v>
      </c>
      <c r="C234" s="55">
        <v>67.92</v>
      </c>
      <c r="D234" s="54"/>
      <c r="E234" s="54"/>
    </row>
    <row r="235" spans="1:5" ht="15" customHeight="1">
      <c r="A235" s="61" t="s">
        <v>2608</v>
      </c>
      <c r="B235" s="61" t="s">
        <v>2607</v>
      </c>
      <c r="C235" s="55">
        <v>243.87</v>
      </c>
      <c r="D235" s="54"/>
      <c r="E235" s="54"/>
    </row>
    <row r="236" spans="1:5" ht="15" customHeight="1">
      <c r="A236" s="61" t="s">
        <v>2606</v>
      </c>
      <c r="B236" s="61" t="s">
        <v>2605</v>
      </c>
      <c r="C236" s="55">
        <v>124.15</v>
      </c>
      <c r="D236" s="54"/>
      <c r="E236" s="54"/>
    </row>
    <row r="237" spans="1:5" ht="15" customHeight="1">
      <c r="A237" s="61" t="s">
        <v>2604</v>
      </c>
      <c r="B237" s="61" t="s">
        <v>2603</v>
      </c>
      <c r="C237" s="55">
        <v>1341.6</v>
      </c>
      <c r="D237" s="54"/>
      <c r="E237" s="54"/>
    </row>
    <row r="238" spans="1:5" ht="15" customHeight="1">
      <c r="A238" s="61" t="s">
        <v>2602</v>
      </c>
      <c r="B238" s="61" t="s">
        <v>2601</v>
      </c>
      <c r="C238" s="55">
        <v>60.15</v>
      </c>
      <c r="D238" s="54"/>
      <c r="E238" s="54"/>
    </row>
    <row r="239" spans="1:5" ht="15" customHeight="1">
      <c r="A239" s="61" t="s">
        <v>2600</v>
      </c>
      <c r="B239" s="61" t="s">
        <v>2598</v>
      </c>
      <c r="C239" s="55">
        <v>128.24</v>
      </c>
      <c r="D239" s="54"/>
      <c r="E239" s="54"/>
    </row>
    <row r="240" spans="1:5" ht="15" customHeight="1">
      <c r="A240" s="61" t="s">
        <v>2599</v>
      </c>
      <c r="B240" s="61" t="s">
        <v>2598</v>
      </c>
      <c r="C240" s="55">
        <v>326.44</v>
      </c>
      <c r="D240" s="54"/>
      <c r="E240" s="54"/>
    </row>
    <row r="241" spans="1:5" ht="15" customHeight="1">
      <c r="A241" s="61" t="s">
        <v>2597</v>
      </c>
      <c r="B241" s="61" t="s">
        <v>2596</v>
      </c>
      <c r="C241" s="55">
        <v>17.8</v>
      </c>
      <c r="D241" s="54"/>
      <c r="E241" s="54"/>
    </row>
    <row r="242" spans="1:5" ht="15" customHeight="1">
      <c r="A242" s="61" t="s">
        <v>2595</v>
      </c>
      <c r="B242" s="61" t="s">
        <v>2594</v>
      </c>
      <c r="C242" s="55">
        <v>81.5</v>
      </c>
      <c r="D242" s="54"/>
      <c r="E242" s="54"/>
    </row>
    <row r="243" spans="1:5" ht="15" customHeight="1">
      <c r="A243" s="61" t="s">
        <v>2593</v>
      </c>
      <c r="B243" s="61" t="s">
        <v>2592</v>
      </c>
      <c r="C243" s="55">
        <v>34.159999999999997</v>
      </c>
      <c r="D243" s="54"/>
      <c r="E243" s="54"/>
    </row>
    <row r="244" spans="1:5" ht="15" customHeight="1">
      <c r="A244" s="61" t="s">
        <v>2591</v>
      </c>
      <c r="B244" s="61" t="s">
        <v>2590</v>
      </c>
      <c r="C244" s="55">
        <v>44.38</v>
      </c>
      <c r="D244" s="54"/>
      <c r="E244" s="54"/>
    </row>
    <row r="245" spans="1:5" ht="15" customHeight="1">
      <c r="A245" s="61" t="s">
        <v>2589</v>
      </c>
      <c r="B245" s="61" t="s">
        <v>2588</v>
      </c>
      <c r="C245" s="55">
        <v>70.48</v>
      </c>
      <c r="D245" s="54"/>
      <c r="E245" s="54"/>
    </row>
    <row r="246" spans="1:5" ht="15" customHeight="1">
      <c r="A246" s="61" t="s">
        <v>2587</v>
      </c>
      <c r="B246" s="61" t="s">
        <v>2586</v>
      </c>
      <c r="C246" s="55">
        <v>79.73</v>
      </c>
      <c r="D246" s="54"/>
      <c r="E246" s="54"/>
    </row>
    <row r="247" spans="1:5" ht="15" customHeight="1">
      <c r="A247" s="61" t="s">
        <v>2585</v>
      </c>
      <c r="B247" s="61" t="s">
        <v>2584</v>
      </c>
      <c r="C247" s="55">
        <v>74.739999999999995</v>
      </c>
      <c r="D247" s="54"/>
      <c r="E247" s="54"/>
    </row>
    <row r="248" spans="1:5" ht="15" customHeight="1">
      <c r="A248" s="61" t="s">
        <v>2583</v>
      </c>
      <c r="B248" s="61" t="s">
        <v>2582</v>
      </c>
      <c r="C248" s="55">
        <v>131.83000000000001</v>
      </c>
      <c r="D248" s="54"/>
      <c r="E248" s="54"/>
    </row>
    <row r="249" spans="1:5" ht="15" customHeight="1">
      <c r="A249" s="61" t="s">
        <v>2581</v>
      </c>
      <c r="B249" s="61" t="s">
        <v>2580</v>
      </c>
      <c r="C249" s="55">
        <v>42.25</v>
      </c>
      <c r="D249" s="54"/>
      <c r="E249" s="54"/>
    </row>
    <row r="250" spans="1:5" ht="15" customHeight="1">
      <c r="A250" s="61" t="s">
        <v>2579</v>
      </c>
      <c r="B250" s="61" t="s">
        <v>2578</v>
      </c>
      <c r="C250" s="55">
        <v>412.88</v>
      </c>
      <c r="D250" s="54"/>
      <c r="E250" s="54"/>
    </row>
    <row r="251" spans="1:5" ht="15" customHeight="1">
      <c r="A251" s="61" t="s">
        <v>2577</v>
      </c>
      <c r="B251" s="61" t="s">
        <v>2576</v>
      </c>
      <c r="C251" s="55">
        <v>164.48</v>
      </c>
      <c r="D251" s="54"/>
      <c r="E251" s="54"/>
    </row>
    <row r="252" spans="1:5" ht="15" customHeight="1">
      <c r="A252" s="61" t="s">
        <v>2575</v>
      </c>
      <c r="B252" s="61" t="s">
        <v>2453</v>
      </c>
      <c r="C252" s="55">
        <v>1103.6600000000001</v>
      </c>
      <c r="D252" s="54"/>
      <c r="E252" s="54"/>
    </row>
    <row r="253" spans="1:5" ht="15" customHeight="1">
      <c r="A253" s="61" t="s">
        <v>2574</v>
      </c>
      <c r="B253" s="61" t="s">
        <v>2453</v>
      </c>
      <c r="C253" s="55">
        <v>1104.46</v>
      </c>
      <c r="D253" s="54"/>
      <c r="E253" s="54"/>
    </row>
    <row r="254" spans="1:5" ht="15" customHeight="1">
      <c r="A254" s="61" t="s">
        <v>2573</v>
      </c>
      <c r="B254" s="61" t="s">
        <v>2572</v>
      </c>
      <c r="C254" s="55">
        <v>572.54</v>
      </c>
      <c r="D254" s="54"/>
      <c r="E254" s="54"/>
    </row>
    <row r="255" spans="1:5" ht="15" customHeight="1">
      <c r="A255" s="61" t="s">
        <v>2571</v>
      </c>
      <c r="B255" s="61" t="s">
        <v>695</v>
      </c>
      <c r="C255" s="55">
        <v>475</v>
      </c>
      <c r="D255" s="54"/>
      <c r="E255" s="54"/>
    </row>
    <row r="256" spans="1:5" ht="15" customHeight="1">
      <c r="A256" s="61" t="s">
        <v>2570</v>
      </c>
      <c r="B256" s="61" t="s">
        <v>2569</v>
      </c>
      <c r="C256" s="55">
        <v>290.25</v>
      </c>
      <c r="D256" s="54"/>
      <c r="E256" s="54"/>
    </row>
    <row r="257" spans="1:5" ht="15" customHeight="1">
      <c r="A257" s="61" t="s">
        <v>2568</v>
      </c>
      <c r="B257" s="61" t="s">
        <v>2567</v>
      </c>
      <c r="C257" s="55">
        <v>241.63</v>
      </c>
      <c r="D257" s="54"/>
      <c r="E257" s="54"/>
    </row>
    <row r="258" spans="1:5" ht="15" customHeight="1">
      <c r="A258" s="61" t="s">
        <v>2566</v>
      </c>
      <c r="B258" s="61" t="s">
        <v>2565</v>
      </c>
      <c r="C258" s="55">
        <v>326.39999999999998</v>
      </c>
      <c r="D258" s="54"/>
      <c r="E258" s="54"/>
    </row>
    <row r="259" spans="1:5" ht="15" customHeight="1">
      <c r="A259" s="61" t="s">
        <v>2564</v>
      </c>
      <c r="B259" s="61" t="s">
        <v>2563</v>
      </c>
      <c r="C259" s="55">
        <v>846.72</v>
      </c>
      <c r="D259" s="54"/>
      <c r="E259" s="54"/>
    </row>
    <row r="260" spans="1:5" ht="15" customHeight="1">
      <c r="A260" s="61" t="s">
        <v>2562</v>
      </c>
      <c r="B260" s="61" t="s">
        <v>2561</v>
      </c>
      <c r="C260" s="55">
        <v>22.55</v>
      </c>
      <c r="D260" s="54"/>
      <c r="E260" s="54"/>
    </row>
    <row r="261" spans="1:5" ht="15" customHeight="1">
      <c r="A261" s="61" t="s">
        <v>2560</v>
      </c>
      <c r="B261" s="61" t="s">
        <v>2559</v>
      </c>
      <c r="C261" s="55">
        <v>2167</v>
      </c>
      <c r="D261" s="54"/>
      <c r="E261" s="54"/>
    </row>
    <row r="262" spans="1:5" ht="15" customHeight="1">
      <c r="A262" s="61" t="s">
        <v>2558</v>
      </c>
      <c r="B262" s="61" t="s">
        <v>2557</v>
      </c>
      <c r="C262" s="55">
        <v>347</v>
      </c>
      <c r="D262" s="54"/>
      <c r="E262" s="54"/>
    </row>
    <row r="263" spans="1:5" ht="15" customHeight="1">
      <c r="A263" s="61" t="s">
        <v>2556</v>
      </c>
      <c r="B263" s="61" t="s">
        <v>2555</v>
      </c>
      <c r="C263" s="55">
        <v>286.41000000000003</v>
      </c>
      <c r="D263" s="54"/>
      <c r="E263" s="54"/>
    </row>
    <row r="264" spans="1:5" ht="15" customHeight="1">
      <c r="A264" s="61" t="s">
        <v>2554</v>
      </c>
      <c r="B264" s="61" t="s">
        <v>2553</v>
      </c>
      <c r="C264" s="55">
        <v>146.54</v>
      </c>
      <c r="D264" s="54"/>
      <c r="E264" s="54"/>
    </row>
    <row r="265" spans="1:5" ht="15" customHeight="1">
      <c r="A265" s="61" t="s">
        <v>2552</v>
      </c>
      <c r="B265" s="61" t="s">
        <v>2551</v>
      </c>
      <c r="C265" s="55">
        <v>26.21</v>
      </c>
      <c r="D265" s="54"/>
      <c r="E265" s="54"/>
    </row>
    <row r="266" spans="1:5" ht="15" customHeight="1">
      <c r="A266" s="61" t="s">
        <v>2550</v>
      </c>
      <c r="B266" s="61" t="s">
        <v>2549</v>
      </c>
      <c r="C266" s="55">
        <v>7.18</v>
      </c>
      <c r="D266" s="54"/>
      <c r="E266" s="54"/>
    </row>
    <row r="267" spans="1:5" ht="15" customHeight="1">
      <c r="A267" s="61" t="s">
        <v>2548</v>
      </c>
      <c r="B267" s="61" t="s">
        <v>2547</v>
      </c>
      <c r="C267" s="55">
        <v>76.23</v>
      </c>
      <c r="D267" s="54"/>
      <c r="E267" s="54"/>
    </row>
    <row r="268" spans="1:5" ht="15" customHeight="1">
      <c r="A268" s="61" t="s">
        <v>2548</v>
      </c>
      <c r="B268" s="61" t="s">
        <v>2547</v>
      </c>
      <c r="C268" s="55">
        <v>76.23</v>
      </c>
      <c r="D268" s="54"/>
      <c r="E268" s="54"/>
    </row>
    <row r="269" spans="1:5" ht="15" customHeight="1">
      <c r="A269" s="61" t="s">
        <v>2546</v>
      </c>
      <c r="B269" s="61" t="s">
        <v>2545</v>
      </c>
      <c r="C269" s="55">
        <v>36</v>
      </c>
      <c r="D269" s="54"/>
      <c r="E269" s="54"/>
    </row>
    <row r="270" spans="1:5" ht="15" customHeight="1">
      <c r="A270" s="61" t="s">
        <v>2544</v>
      </c>
      <c r="B270" s="61" t="s">
        <v>2543</v>
      </c>
      <c r="C270" s="55">
        <v>66.540000000000006</v>
      </c>
      <c r="D270" s="54"/>
      <c r="E270" s="54"/>
    </row>
    <row r="271" spans="1:5" ht="15" customHeight="1">
      <c r="A271" s="61" t="s">
        <v>2542</v>
      </c>
      <c r="B271" s="61" t="s">
        <v>2541</v>
      </c>
      <c r="C271" s="55">
        <v>38.58</v>
      </c>
      <c r="D271" s="54"/>
      <c r="E271" s="54"/>
    </row>
    <row r="272" spans="1:5" ht="15" customHeight="1">
      <c r="A272" s="61" t="s">
        <v>2540</v>
      </c>
      <c r="B272" s="61" t="s">
        <v>2539</v>
      </c>
      <c r="C272" s="55">
        <v>49.9</v>
      </c>
      <c r="D272" s="54"/>
      <c r="E272" s="54"/>
    </row>
    <row r="273" spans="1:5" ht="15" customHeight="1">
      <c r="A273" s="61" t="s">
        <v>2538</v>
      </c>
      <c r="B273" s="61" t="s">
        <v>2537</v>
      </c>
      <c r="C273" s="55">
        <v>74.650000000000006</v>
      </c>
      <c r="D273" s="54"/>
      <c r="E273" s="54"/>
    </row>
    <row r="274" spans="1:5" ht="15" customHeight="1">
      <c r="A274" s="61" t="s">
        <v>2536</v>
      </c>
      <c r="B274" s="61" t="s">
        <v>2535</v>
      </c>
      <c r="C274" s="55">
        <v>85.71</v>
      </c>
      <c r="D274" s="54"/>
      <c r="E274" s="54"/>
    </row>
    <row r="275" spans="1:5" ht="15" customHeight="1">
      <c r="A275" s="61" t="s">
        <v>2534</v>
      </c>
      <c r="B275" s="61" t="s">
        <v>2533</v>
      </c>
      <c r="C275" s="55">
        <v>387.62</v>
      </c>
      <c r="D275" s="54"/>
      <c r="E275" s="54"/>
    </row>
    <row r="276" spans="1:5" ht="15" customHeight="1">
      <c r="A276" s="61" t="s">
        <v>2532</v>
      </c>
      <c r="B276" s="61" t="s">
        <v>2531</v>
      </c>
      <c r="C276" s="55">
        <v>342.27</v>
      </c>
      <c r="D276" s="54"/>
      <c r="E276" s="54"/>
    </row>
    <row r="277" spans="1:5" ht="15" customHeight="1">
      <c r="A277" s="61" t="s">
        <v>2530</v>
      </c>
      <c r="B277" s="61" t="s">
        <v>2529</v>
      </c>
      <c r="C277" s="55">
        <v>588.91</v>
      </c>
      <c r="D277" s="54"/>
      <c r="E277" s="54"/>
    </row>
    <row r="278" spans="1:5" ht="15" customHeight="1">
      <c r="A278" s="61" t="s">
        <v>2528</v>
      </c>
      <c r="B278" s="61" t="s">
        <v>2527</v>
      </c>
      <c r="C278" s="55">
        <v>54.06</v>
      </c>
      <c r="D278" s="54"/>
      <c r="E278" s="54"/>
    </row>
    <row r="279" spans="1:5" ht="15" customHeight="1">
      <c r="A279" s="61" t="s">
        <v>2526</v>
      </c>
      <c r="B279" s="61" t="s">
        <v>2525</v>
      </c>
      <c r="C279" s="55">
        <v>2459.59</v>
      </c>
      <c r="D279" s="54"/>
      <c r="E279" s="54"/>
    </row>
    <row r="280" spans="1:5" ht="15" customHeight="1">
      <c r="A280" s="61" t="s">
        <v>2524</v>
      </c>
      <c r="B280" s="61" t="s">
        <v>2523</v>
      </c>
      <c r="C280" s="55">
        <v>558.34</v>
      </c>
      <c r="D280" s="54"/>
      <c r="E280" s="54"/>
    </row>
    <row r="281" spans="1:5" ht="15" customHeight="1">
      <c r="A281" s="61" t="s">
        <v>2522</v>
      </c>
      <c r="B281" s="61" t="s">
        <v>2521</v>
      </c>
      <c r="C281" s="55">
        <v>1311.76</v>
      </c>
      <c r="D281" s="54"/>
      <c r="E281" s="54"/>
    </row>
    <row r="282" spans="1:5" ht="15" customHeight="1">
      <c r="A282" s="61" t="s">
        <v>2520</v>
      </c>
      <c r="B282" s="61" t="s">
        <v>2519</v>
      </c>
      <c r="C282" s="55">
        <v>290.77</v>
      </c>
      <c r="D282" s="54"/>
      <c r="E282" s="54"/>
    </row>
    <row r="283" spans="1:5" ht="15" customHeight="1">
      <c r="A283" s="61" t="s">
        <v>2518</v>
      </c>
      <c r="B283" s="61" t="s">
        <v>2517</v>
      </c>
      <c r="C283" s="55">
        <v>87.62</v>
      </c>
      <c r="D283" s="54"/>
      <c r="E283" s="54"/>
    </row>
    <row r="284" spans="1:5" ht="15" customHeight="1">
      <c r="A284" s="61" t="s">
        <v>2516</v>
      </c>
      <c r="B284" s="61" t="s">
        <v>2515</v>
      </c>
      <c r="C284" s="55">
        <v>581.42999999999995</v>
      </c>
      <c r="D284" s="54"/>
      <c r="E284" s="54"/>
    </row>
    <row r="285" spans="1:5" ht="15" customHeight="1">
      <c r="A285" s="61" t="s">
        <v>2514</v>
      </c>
      <c r="B285" s="61" t="s">
        <v>2513</v>
      </c>
      <c r="C285" s="55">
        <v>328.23</v>
      </c>
      <c r="D285" s="54"/>
      <c r="E285" s="54"/>
    </row>
    <row r="286" spans="1:5" ht="15" customHeight="1">
      <c r="A286" s="61" t="s">
        <v>2512</v>
      </c>
      <c r="B286" s="61" t="s">
        <v>2511</v>
      </c>
      <c r="C286" s="55">
        <v>474.59</v>
      </c>
      <c r="D286" s="54"/>
      <c r="E286" s="54"/>
    </row>
    <row r="287" spans="1:5" ht="15" customHeight="1">
      <c r="A287" s="61" t="s">
        <v>2510</v>
      </c>
      <c r="B287" s="61" t="s">
        <v>2509</v>
      </c>
      <c r="C287" s="55">
        <v>59.47</v>
      </c>
      <c r="D287" s="54"/>
      <c r="E287" s="54"/>
    </row>
    <row r="288" spans="1:5" ht="15" customHeight="1">
      <c r="A288" s="61" t="s">
        <v>2508</v>
      </c>
      <c r="B288" s="61" t="s">
        <v>2507</v>
      </c>
      <c r="C288" s="55">
        <v>335.91</v>
      </c>
      <c r="D288" s="54"/>
      <c r="E288" s="54"/>
    </row>
    <row r="289" spans="1:5" ht="15" customHeight="1">
      <c r="A289" s="61" t="s">
        <v>2506</v>
      </c>
      <c r="B289" s="61" t="s">
        <v>2505</v>
      </c>
      <c r="C289" s="55">
        <v>40.53</v>
      </c>
      <c r="D289" s="54"/>
      <c r="E289" s="54"/>
    </row>
    <row r="290" spans="1:5" ht="15" customHeight="1">
      <c r="A290" s="61" t="s">
        <v>2504</v>
      </c>
      <c r="B290" s="61" t="s">
        <v>2503</v>
      </c>
      <c r="C290" s="55">
        <v>66.08</v>
      </c>
      <c r="D290" s="54"/>
      <c r="E290" s="54"/>
    </row>
    <row r="291" spans="1:5" ht="15" customHeight="1">
      <c r="A291" s="61" t="s">
        <v>2502</v>
      </c>
      <c r="B291" s="61" t="s">
        <v>2501</v>
      </c>
      <c r="C291" s="55">
        <v>95.34</v>
      </c>
      <c r="D291" s="54"/>
      <c r="E291" s="54"/>
    </row>
    <row r="292" spans="1:5" ht="15" customHeight="1">
      <c r="A292" s="61" t="s">
        <v>2500</v>
      </c>
      <c r="B292" s="61" t="s">
        <v>2499</v>
      </c>
      <c r="C292" s="55">
        <v>42.46</v>
      </c>
      <c r="D292" s="54"/>
      <c r="E292" s="54"/>
    </row>
    <row r="293" spans="1:5" ht="15" customHeight="1">
      <c r="A293" s="61" t="s">
        <v>2498</v>
      </c>
      <c r="B293" s="61" t="s">
        <v>2497</v>
      </c>
      <c r="C293" s="55">
        <v>74.180000000000007</v>
      </c>
      <c r="D293" s="54"/>
      <c r="E293" s="54"/>
    </row>
    <row r="294" spans="1:5" ht="15" customHeight="1">
      <c r="A294" s="61" t="s">
        <v>2496</v>
      </c>
      <c r="B294" s="61" t="s">
        <v>2495</v>
      </c>
      <c r="C294" s="55">
        <v>65.83</v>
      </c>
      <c r="D294" s="54"/>
      <c r="E294" s="54"/>
    </row>
    <row r="295" spans="1:5" ht="15" customHeight="1">
      <c r="A295" s="61" t="s">
        <v>2494</v>
      </c>
      <c r="B295" s="61" t="s">
        <v>2493</v>
      </c>
      <c r="C295" s="55">
        <v>87.79</v>
      </c>
      <c r="D295" s="54"/>
      <c r="E295" s="54"/>
    </row>
    <row r="296" spans="1:5" ht="15" customHeight="1">
      <c r="A296" s="61" t="s">
        <v>2492</v>
      </c>
      <c r="B296" s="61" t="s">
        <v>2491</v>
      </c>
      <c r="C296" s="55">
        <v>1253.83</v>
      </c>
      <c r="D296" s="54"/>
      <c r="E296" s="54"/>
    </row>
    <row r="297" spans="1:5" ht="15" customHeight="1">
      <c r="A297" s="61" t="s">
        <v>2490</v>
      </c>
      <c r="B297" s="61" t="s">
        <v>2489</v>
      </c>
      <c r="C297" s="55">
        <v>1412.96</v>
      </c>
      <c r="D297" s="54"/>
      <c r="E297" s="54"/>
    </row>
    <row r="298" spans="1:5" ht="15" customHeight="1">
      <c r="A298" s="61" t="s">
        <v>2488</v>
      </c>
      <c r="B298" s="61" t="s">
        <v>2487</v>
      </c>
      <c r="C298" s="55">
        <v>1500.54</v>
      </c>
      <c r="D298" s="54"/>
      <c r="E298" s="54"/>
    </row>
    <row r="299" spans="1:5" ht="15" customHeight="1">
      <c r="A299" s="61" t="s">
        <v>2486</v>
      </c>
      <c r="B299" s="61" t="s">
        <v>2485</v>
      </c>
      <c r="C299" s="55">
        <v>371.02</v>
      </c>
      <c r="D299" s="54"/>
      <c r="E299" s="54"/>
    </row>
    <row r="300" spans="1:5" ht="15" customHeight="1">
      <c r="A300" s="61" t="s">
        <v>2484</v>
      </c>
      <c r="B300" s="61" t="s">
        <v>2483</v>
      </c>
      <c r="C300" s="55">
        <v>429.01</v>
      </c>
      <c r="D300" s="54"/>
      <c r="E300" s="54"/>
    </row>
    <row r="301" spans="1:5" ht="15" customHeight="1">
      <c r="A301" s="61" t="s">
        <v>2482</v>
      </c>
      <c r="B301" s="61" t="s">
        <v>2481</v>
      </c>
      <c r="C301" s="55">
        <v>156.4</v>
      </c>
      <c r="D301" s="54"/>
      <c r="E301" s="54"/>
    </row>
    <row r="302" spans="1:5" ht="15" customHeight="1">
      <c r="A302" s="61" t="s">
        <v>2480</v>
      </c>
      <c r="B302" s="61" t="s">
        <v>2479</v>
      </c>
      <c r="C302" s="55">
        <v>20.04</v>
      </c>
      <c r="D302" s="54"/>
      <c r="E302" s="54"/>
    </row>
    <row r="303" spans="1:5" ht="15" customHeight="1">
      <c r="A303" s="61" t="s">
        <v>2478</v>
      </c>
      <c r="B303" s="61" t="s">
        <v>2477</v>
      </c>
      <c r="C303" s="55">
        <v>32.630000000000003</v>
      </c>
      <c r="D303" s="54"/>
      <c r="E303" s="54"/>
    </row>
    <row r="304" spans="1:5" ht="15" customHeight="1">
      <c r="A304" s="61" t="s">
        <v>2476</v>
      </c>
      <c r="B304" s="61" t="s">
        <v>2475</v>
      </c>
      <c r="C304" s="55">
        <v>60.76</v>
      </c>
      <c r="D304" s="54"/>
      <c r="E304" s="54"/>
    </row>
    <row r="305" spans="1:5" ht="15" customHeight="1">
      <c r="A305" s="61" t="s">
        <v>2474</v>
      </c>
      <c r="B305" s="61" t="s">
        <v>2473</v>
      </c>
      <c r="C305" s="55">
        <v>74.48</v>
      </c>
      <c r="D305" s="54"/>
      <c r="E305" s="54"/>
    </row>
    <row r="306" spans="1:5" ht="15" customHeight="1">
      <c r="A306" s="61" t="s">
        <v>2472</v>
      </c>
      <c r="B306" s="61" t="s">
        <v>2471</v>
      </c>
      <c r="C306" s="55">
        <v>78.09</v>
      </c>
      <c r="D306" s="54"/>
      <c r="E306" s="54"/>
    </row>
    <row r="307" spans="1:5" ht="15" customHeight="1">
      <c r="A307" s="61" t="s">
        <v>2470</v>
      </c>
      <c r="B307" s="61" t="s">
        <v>2469</v>
      </c>
      <c r="C307" s="55">
        <v>59.54</v>
      </c>
      <c r="D307" s="54"/>
      <c r="E307" s="54"/>
    </row>
    <row r="308" spans="1:5" ht="15" customHeight="1">
      <c r="A308" s="61" t="s">
        <v>2468</v>
      </c>
      <c r="B308" s="61" t="s">
        <v>2467</v>
      </c>
      <c r="C308" s="55">
        <v>60.76</v>
      </c>
      <c r="D308" s="54"/>
      <c r="E308" s="54"/>
    </row>
    <row r="309" spans="1:5" ht="15" customHeight="1">
      <c r="A309" s="61" t="s">
        <v>2466</v>
      </c>
      <c r="B309" s="61" t="s">
        <v>2465</v>
      </c>
      <c r="C309" s="55">
        <v>2080.56</v>
      </c>
      <c r="D309" s="54"/>
      <c r="E309" s="54"/>
    </row>
    <row r="310" spans="1:5" ht="15" customHeight="1">
      <c r="A310" s="61" t="s">
        <v>2464</v>
      </c>
      <c r="B310" s="61" t="s">
        <v>2463</v>
      </c>
      <c r="C310" s="55">
        <v>18.82</v>
      </c>
      <c r="D310" s="54"/>
      <c r="E310" s="54"/>
    </row>
    <row r="311" spans="1:5" ht="15" customHeight="1">
      <c r="A311" s="61" t="s">
        <v>2462</v>
      </c>
      <c r="B311" s="61" t="s">
        <v>2461</v>
      </c>
      <c r="C311" s="55">
        <v>56.91</v>
      </c>
      <c r="D311" s="54"/>
      <c r="E311" s="54"/>
    </row>
    <row r="312" spans="1:5" ht="15" customHeight="1">
      <c r="A312" s="61" t="s">
        <v>2460</v>
      </c>
      <c r="B312" s="61" t="s">
        <v>2459</v>
      </c>
      <c r="C312" s="55">
        <v>872.91</v>
      </c>
      <c r="D312" s="54"/>
      <c r="E312" s="54"/>
    </row>
    <row r="313" spans="1:5" ht="15" customHeight="1">
      <c r="A313" s="61" t="s">
        <v>2458</v>
      </c>
      <c r="B313" s="61" t="s">
        <v>2457</v>
      </c>
      <c r="C313" s="55">
        <v>5.95</v>
      </c>
      <c r="D313" s="54"/>
      <c r="E313" s="54"/>
    </row>
    <row r="314" spans="1:5" ht="15" customHeight="1">
      <c r="A314" s="61" t="s">
        <v>2456</v>
      </c>
      <c r="B314" s="61" t="s">
        <v>2455</v>
      </c>
      <c r="C314" s="55">
        <v>547.86</v>
      </c>
      <c r="D314" s="54"/>
      <c r="E314" s="54"/>
    </row>
    <row r="315" spans="1:5" ht="15" customHeight="1">
      <c r="A315" s="61" t="s">
        <v>2454</v>
      </c>
      <c r="B315" s="61" t="s">
        <v>2453</v>
      </c>
      <c r="C315" s="55">
        <v>1352.51</v>
      </c>
      <c r="D315" s="54"/>
      <c r="E315" s="54"/>
    </row>
    <row r="316" spans="1:5" ht="15" customHeight="1">
      <c r="A316" s="61" t="s">
        <v>2452</v>
      </c>
      <c r="B316" s="61" t="s">
        <v>2451</v>
      </c>
      <c r="C316" s="55">
        <v>396</v>
      </c>
      <c r="D316" s="54"/>
      <c r="E316" s="54"/>
    </row>
    <row r="317" spans="1:5" ht="15" customHeight="1">
      <c r="A317" s="61" t="s">
        <v>2450</v>
      </c>
      <c r="B317" s="61" t="s">
        <v>2449</v>
      </c>
      <c r="C317" s="55">
        <v>368.2</v>
      </c>
      <c r="D317" s="54"/>
      <c r="E317" s="54"/>
    </row>
    <row r="318" spans="1:5" ht="15" customHeight="1">
      <c r="A318" s="61" t="s">
        <v>2448</v>
      </c>
      <c r="B318" s="61" t="s">
        <v>2447</v>
      </c>
      <c r="C318" s="55">
        <v>801</v>
      </c>
      <c r="D318" s="54"/>
      <c r="E318" s="54"/>
    </row>
    <row r="319" spans="1:5" ht="15" customHeight="1">
      <c r="A319" s="61" t="s">
        <v>2446</v>
      </c>
      <c r="B319" s="61" t="s">
        <v>2445</v>
      </c>
      <c r="C319" s="55">
        <v>64.28</v>
      </c>
      <c r="D319" s="54"/>
      <c r="E319" s="54"/>
    </row>
    <row r="320" spans="1:5" ht="15" customHeight="1">
      <c r="A320" s="61" t="s">
        <v>2444</v>
      </c>
      <c r="B320" s="61" t="s">
        <v>2443</v>
      </c>
      <c r="C320" s="55">
        <v>7.15</v>
      </c>
      <c r="D320" s="54"/>
      <c r="E320" s="54"/>
    </row>
    <row r="321" spans="1:5" ht="15" customHeight="1">
      <c r="A321" s="61" t="s">
        <v>2442</v>
      </c>
      <c r="B321" s="61" t="s">
        <v>2441</v>
      </c>
      <c r="C321" s="55">
        <v>322.37</v>
      </c>
      <c r="D321" s="54"/>
      <c r="E321" s="54"/>
    </row>
    <row r="322" spans="1:5" ht="15" customHeight="1">
      <c r="A322" s="61" t="s">
        <v>2440</v>
      </c>
      <c r="B322" s="61" t="s">
        <v>2439</v>
      </c>
      <c r="C322" s="55">
        <v>846.44</v>
      </c>
      <c r="D322" s="54"/>
      <c r="E322" s="54"/>
    </row>
    <row r="323" spans="1:5" ht="15" customHeight="1">
      <c r="A323" s="61" t="s">
        <v>2438</v>
      </c>
      <c r="B323" s="61" t="s">
        <v>2437</v>
      </c>
      <c r="C323" s="55">
        <v>259.64</v>
      </c>
      <c r="D323" s="54"/>
      <c r="E323" s="54"/>
    </row>
    <row r="324" spans="1:5" ht="15" customHeight="1">
      <c r="A324" s="61" t="s">
        <v>2436</v>
      </c>
      <c r="B324" s="61" t="s">
        <v>2435</v>
      </c>
      <c r="C324" s="55">
        <v>241.24</v>
      </c>
      <c r="D324" s="54"/>
      <c r="E324" s="54"/>
    </row>
    <row r="325" spans="1:5" ht="15" customHeight="1">
      <c r="A325" s="61" t="s">
        <v>2434</v>
      </c>
      <c r="B325" s="61" t="s">
        <v>2433</v>
      </c>
      <c r="C325" s="55">
        <v>670.56</v>
      </c>
      <c r="D325" s="54"/>
      <c r="E325" s="54"/>
    </row>
    <row r="326" spans="1:5" ht="15" customHeight="1">
      <c r="A326" s="61" t="s">
        <v>2432</v>
      </c>
      <c r="B326" s="61" t="s">
        <v>2431</v>
      </c>
      <c r="C326" s="55">
        <v>42.85</v>
      </c>
      <c r="D326" s="54"/>
      <c r="E326" s="54"/>
    </row>
    <row r="327" spans="1:5" ht="15" customHeight="1">
      <c r="A327" s="61" t="s">
        <v>2430</v>
      </c>
      <c r="B327" s="61" t="s">
        <v>2429</v>
      </c>
      <c r="C327" s="55">
        <v>89.62</v>
      </c>
      <c r="D327" s="54"/>
      <c r="E327" s="54"/>
    </row>
    <row r="328" spans="1:5" ht="15" customHeight="1">
      <c r="A328" s="61" t="s">
        <v>2428</v>
      </c>
      <c r="B328" s="61" t="s">
        <v>2427</v>
      </c>
      <c r="C328" s="55">
        <v>76.8</v>
      </c>
      <c r="D328" s="54"/>
      <c r="E328" s="54"/>
    </row>
    <row r="329" spans="1:5" ht="15" customHeight="1">
      <c r="A329" s="61" t="s">
        <v>2426</v>
      </c>
      <c r="B329" s="61" t="s">
        <v>2425</v>
      </c>
      <c r="C329" s="55">
        <v>5.13</v>
      </c>
      <c r="D329" s="54"/>
      <c r="E329" s="54"/>
    </row>
    <row r="330" spans="1:5" ht="15" customHeight="1">
      <c r="A330" s="61" t="s">
        <v>2424</v>
      </c>
      <c r="B330" s="61" t="s">
        <v>2423</v>
      </c>
      <c r="C330" s="55">
        <v>1130.44</v>
      </c>
      <c r="D330" s="54"/>
      <c r="E330" s="54"/>
    </row>
    <row r="331" spans="1:5" ht="15" customHeight="1">
      <c r="A331" s="61" t="s">
        <v>2422</v>
      </c>
      <c r="B331" s="61" t="s">
        <v>2421</v>
      </c>
      <c r="C331" s="55">
        <v>4011.57</v>
      </c>
      <c r="D331" s="54"/>
      <c r="E331" s="54"/>
    </row>
    <row r="332" spans="1:5" ht="15" customHeight="1">
      <c r="A332" s="61" t="s">
        <v>2420</v>
      </c>
      <c r="B332" s="61" t="s">
        <v>2419</v>
      </c>
      <c r="C332" s="55">
        <v>69.94</v>
      </c>
      <c r="D332" s="54"/>
      <c r="E332" s="54"/>
    </row>
    <row r="333" spans="1:5" ht="15" customHeight="1">
      <c r="A333" s="61" t="s">
        <v>2418</v>
      </c>
      <c r="B333" s="61" t="s">
        <v>2417</v>
      </c>
      <c r="C333" s="55">
        <v>12.3</v>
      </c>
      <c r="D333" s="54"/>
      <c r="E333" s="54"/>
    </row>
    <row r="334" spans="1:5" ht="15" customHeight="1">
      <c r="A334" s="61" t="s">
        <v>2416</v>
      </c>
      <c r="B334" s="61" t="s">
        <v>2415</v>
      </c>
      <c r="C334" s="55">
        <v>1542.89</v>
      </c>
      <c r="D334" s="54"/>
      <c r="E334" s="54"/>
    </row>
    <row r="335" spans="1:5" ht="15" customHeight="1">
      <c r="A335" s="61" t="s">
        <v>2414</v>
      </c>
      <c r="B335" s="61" t="s">
        <v>2413</v>
      </c>
      <c r="C335" s="55">
        <v>545.52</v>
      </c>
      <c r="D335" s="54"/>
      <c r="E335" s="54"/>
    </row>
    <row r="336" spans="1:5" ht="15" customHeight="1">
      <c r="A336" s="61" t="s">
        <v>2412</v>
      </c>
      <c r="B336" s="61" t="s">
        <v>2411</v>
      </c>
      <c r="C336" s="55">
        <v>2393.96</v>
      </c>
      <c r="D336" s="54"/>
      <c r="E336" s="54"/>
    </row>
    <row r="337" spans="1:5" ht="15" customHeight="1">
      <c r="A337" s="61" t="s">
        <v>2410</v>
      </c>
      <c r="B337" s="61" t="s">
        <v>2409</v>
      </c>
      <c r="C337" s="55">
        <v>22.2</v>
      </c>
      <c r="D337" s="54"/>
      <c r="E337" s="54"/>
    </row>
    <row r="338" spans="1:5" ht="15" customHeight="1">
      <c r="A338" s="61" t="s">
        <v>2408</v>
      </c>
      <c r="B338" s="61" t="s">
        <v>2407</v>
      </c>
      <c r="C338" s="55">
        <v>577.41</v>
      </c>
      <c r="D338" s="54"/>
      <c r="E338" s="54"/>
    </row>
    <row r="339" spans="1:5" ht="15" customHeight="1">
      <c r="A339" s="61" t="s">
        <v>2406</v>
      </c>
      <c r="B339" s="61" t="s">
        <v>2405</v>
      </c>
      <c r="C339" s="55">
        <v>1406.92</v>
      </c>
      <c r="D339" s="54"/>
      <c r="E339" s="54"/>
    </row>
    <row r="340" spans="1:5" ht="15" customHeight="1">
      <c r="A340" s="61" t="s">
        <v>2404</v>
      </c>
      <c r="B340" s="61" t="s">
        <v>2403</v>
      </c>
      <c r="C340" s="55">
        <v>242.31</v>
      </c>
      <c r="D340" s="54"/>
      <c r="E340" s="54"/>
    </row>
    <row r="341" spans="1:5" ht="15" customHeight="1">
      <c r="A341" s="61" t="s">
        <v>2402</v>
      </c>
      <c r="B341" s="61" t="s">
        <v>2401</v>
      </c>
      <c r="C341" s="55">
        <v>68.3</v>
      </c>
      <c r="D341" s="54"/>
      <c r="E341" s="54"/>
    </row>
    <row r="342" spans="1:5" ht="15" customHeight="1">
      <c r="A342" s="61" t="s">
        <v>2400</v>
      </c>
      <c r="B342" s="61" t="s">
        <v>2399</v>
      </c>
      <c r="C342" s="55">
        <v>86.6</v>
      </c>
      <c r="D342" s="54"/>
      <c r="E342" s="54"/>
    </row>
    <row r="343" spans="1:5" ht="15" customHeight="1">
      <c r="A343" s="61" t="s">
        <v>2398</v>
      </c>
      <c r="B343" s="61" t="s">
        <v>2384</v>
      </c>
      <c r="C343" s="55">
        <v>28.52</v>
      </c>
      <c r="D343" s="54"/>
      <c r="E343" s="54"/>
    </row>
    <row r="344" spans="1:5" ht="15" customHeight="1">
      <c r="A344" s="61" t="s">
        <v>2397</v>
      </c>
      <c r="B344" s="61" t="s">
        <v>2396</v>
      </c>
      <c r="C344" s="55">
        <v>1719.4</v>
      </c>
      <c r="D344" s="54"/>
      <c r="E344" s="54"/>
    </row>
    <row r="345" spans="1:5" ht="15" customHeight="1">
      <c r="A345" s="61" t="s">
        <v>2395</v>
      </c>
      <c r="B345" s="61" t="s">
        <v>2394</v>
      </c>
      <c r="C345" s="55">
        <v>228.48</v>
      </c>
      <c r="D345" s="54"/>
      <c r="E345" s="54"/>
    </row>
    <row r="346" spans="1:5" ht="15" customHeight="1">
      <c r="A346" s="61" t="s">
        <v>2393</v>
      </c>
      <c r="B346" s="61" t="s">
        <v>2392</v>
      </c>
      <c r="C346" s="55">
        <v>677.53</v>
      </c>
      <c r="D346" s="54"/>
      <c r="E346" s="54"/>
    </row>
    <row r="347" spans="1:5" ht="15" customHeight="1">
      <c r="A347" s="61" t="s">
        <v>2391</v>
      </c>
      <c r="B347" s="61" t="s">
        <v>2390</v>
      </c>
      <c r="C347" s="55">
        <v>6.98</v>
      </c>
      <c r="D347" s="54"/>
      <c r="E347" s="54"/>
    </row>
    <row r="348" spans="1:5" ht="15" customHeight="1">
      <c r="A348" s="61" t="s">
        <v>2389</v>
      </c>
      <c r="B348" s="61" t="s">
        <v>2388</v>
      </c>
      <c r="C348" s="55">
        <v>979.93</v>
      </c>
      <c r="D348" s="54"/>
      <c r="E348" s="54"/>
    </row>
    <row r="349" spans="1:5" ht="15" customHeight="1">
      <c r="A349" s="61" t="s">
        <v>2387</v>
      </c>
      <c r="B349" s="61" t="s">
        <v>2386</v>
      </c>
      <c r="C349" s="55">
        <v>73.92</v>
      </c>
      <c r="D349" s="54"/>
      <c r="E349" s="54"/>
    </row>
    <row r="350" spans="1:5" ht="15" customHeight="1">
      <c r="A350" s="61" t="s">
        <v>2385</v>
      </c>
      <c r="B350" s="61" t="s">
        <v>2384</v>
      </c>
      <c r="C350" s="55">
        <v>26.13</v>
      </c>
      <c r="D350" s="54"/>
      <c r="E350" s="54"/>
    </row>
    <row r="351" spans="1:5" ht="15" customHeight="1">
      <c r="A351" s="61" t="s">
        <v>2383</v>
      </c>
      <c r="B351" s="61" t="s">
        <v>2382</v>
      </c>
      <c r="C351" s="55">
        <v>704.2</v>
      </c>
      <c r="D351" s="54"/>
      <c r="E351" s="54"/>
    </row>
    <row r="352" spans="1:5" ht="15" customHeight="1">
      <c r="A352" s="61" t="s">
        <v>2381</v>
      </c>
      <c r="B352" s="61" t="s">
        <v>2380</v>
      </c>
      <c r="C352" s="55">
        <v>1090.3599999999999</v>
      </c>
      <c r="D352" s="54"/>
      <c r="E352" s="54"/>
    </row>
    <row r="353" spans="1:5" ht="15" customHeight="1">
      <c r="A353" s="61" t="s">
        <v>2379</v>
      </c>
      <c r="B353" s="61" t="s">
        <v>2378</v>
      </c>
      <c r="C353" s="55">
        <v>1129.8399999999999</v>
      </c>
      <c r="D353" s="54"/>
      <c r="E353" s="54"/>
    </row>
    <row r="354" spans="1:5" ht="15" customHeight="1">
      <c r="A354" s="61" t="s">
        <v>2377</v>
      </c>
      <c r="B354" s="61" t="s">
        <v>2376</v>
      </c>
      <c r="C354" s="55">
        <v>119.81</v>
      </c>
      <c r="D354" s="54"/>
      <c r="E354" s="54"/>
    </row>
    <row r="355" spans="1:5" ht="15" customHeight="1">
      <c r="A355" s="61" t="s">
        <v>2375</v>
      </c>
      <c r="B355" s="61" t="s">
        <v>2374</v>
      </c>
      <c r="C355" s="55">
        <v>135</v>
      </c>
      <c r="D355" s="54"/>
      <c r="E355" s="54"/>
    </row>
    <row r="356" spans="1:5" ht="15" customHeight="1">
      <c r="A356" s="61" t="s">
        <v>2373</v>
      </c>
      <c r="B356" s="61" t="s">
        <v>2372</v>
      </c>
      <c r="C356" s="55">
        <v>56.16</v>
      </c>
      <c r="D356" s="54"/>
      <c r="E356" s="54"/>
    </row>
    <row r="357" spans="1:5" ht="15" customHeight="1">
      <c r="A357" s="61" t="s">
        <v>2371</v>
      </c>
      <c r="B357" s="61" t="s">
        <v>2370</v>
      </c>
      <c r="C357" s="55">
        <v>13.98</v>
      </c>
      <c r="D357" s="54"/>
      <c r="E357" s="54"/>
    </row>
    <row r="358" spans="1:5" ht="15" customHeight="1">
      <c r="A358" s="61" t="s">
        <v>2369</v>
      </c>
      <c r="B358" s="61" t="s">
        <v>2368</v>
      </c>
      <c r="C358" s="55">
        <v>88.23</v>
      </c>
      <c r="D358" s="54"/>
      <c r="E358" s="54"/>
    </row>
    <row r="359" spans="1:5" ht="15" customHeight="1">
      <c r="A359" s="61" t="s">
        <v>2367</v>
      </c>
      <c r="B359" s="61" t="s">
        <v>2366</v>
      </c>
      <c r="C359" s="55">
        <v>28.26</v>
      </c>
      <c r="D359" s="54"/>
      <c r="E359" s="54"/>
    </row>
    <row r="360" spans="1:5" ht="15" customHeight="1">
      <c r="A360" s="61" t="s">
        <v>2365</v>
      </c>
      <c r="B360" s="61" t="s">
        <v>2364</v>
      </c>
      <c r="C360" s="55">
        <v>240.46</v>
      </c>
      <c r="D360" s="54"/>
      <c r="E360" s="54"/>
    </row>
    <row r="361" spans="1:5" ht="15" customHeight="1">
      <c r="A361" s="61" t="s">
        <v>2363</v>
      </c>
      <c r="B361" s="61" t="s">
        <v>2362</v>
      </c>
      <c r="C361" s="55">
        <v>411.84</v>
      </c>
      <c r="D361" s="54"/>
      <c r="E361" s="54"/>
    </row>
    <row r="362" spans="1:5" ht="15" customHeight="1">
      <c r="A362" s="61" t="s">
        <v>2361</v>
      </c>
      <c r="B362" s="61" t="s">
        <v>2360</v>
      </c>
      <c r="C362" s="55">
        <v>280.8</v>
      </c>
      <c r="D362" s="54"/>
      <c r="E362" s="54"/>
    </row>
    <row r="363" spans="1:5" ht="15" customHeight="1">
      <c r="A363" s="61" t="s">
        <v>2359</v>
      </c>
      <c r="B363" s="61" t="s">
        <v>2358</v>
      </c>
      <c r="C363" s="55">
        <v>482.97</v>
      </c>
      <c r="D363" s="54"/>
      <c r="E363" s="54"/>
    </row>
    <row r="364" spans="1:5" ht="15" customHeight="1">
      <c r="A364" s="61" t="s">
        <v>2357</v>
      </c>
      <c r="B364" s="61" t="s">
        <v>2356</v>
      </c>
      <c r="C364" s="55">
        <v>223.04</v>
      </c>
      <c r="D364" s="54"/>
      <c r="E364" s="54"/>
    </row>
    <row r="365" spans="1:5" ht="15" customHeight="1">
      <c r="A365" s="61" t="s">
        <v>2355</v>
      </c>
      <c r="B365" s="61" t="s">
        <v>2354</v>
      </c>
      <c r="C365" s="55">
        <v>173</v>
      </c>
      <c r="D365" s="54"/>
      <c r="E365" s="54"/>
    </row>
    <row r="366" spans="1:5" ht="15" customHeight="1">
      <c r="A366" s="61" t="s">
        <v>2353</v>
      </c>
      <c r="B366" s="61" t="s">
        <v>2352</v>
      </c>
      <c r="C366" s="55">
        <v>205.75</v>
      </c>
      <c r="D366" s="54"/>
      <c r="E366" s="54"/>
    </row>
    <row r="367" spans="1:5" ht="15" customHeight="1">
      <c r="A367" s="61" t="s">
        <v>2351</v>
      </c>
      <c r="B367" s="61" t="s">
        <v>2350</v>
      </c>
      <c r="C367" s="55">
        <v>88.1</v>
      </c>
      <c r="D367" s="54"/>
      <c r="E367" s="54"/>
    </row>
    <row r="368" spans="1:5" ht="15" customHeight="1">
      <c r="A368" s="61" t="s">
        <v>2349</v>
      </c>
      <c r="B368" s="61" t="s">
        <v>2348</v>
      </c>
      <c r="C368" s="55">
        <v>64.319999999999993</v>
      </c>
      <c r="D368" s="54"/>
      <c r="E368" s="54"/>
    </row>
    <row r="369" spans="1:5" ht="15" customHeight="1">
      <c r="A369" s="61" t="s">
        <v>2347</v>
      </c>
      <c r="B369" s="61" t="s">
        <v>2346</v>
      </c>
      <c r="C369" s="55">
        <v>98.59</v>
      </c>
      <c r="D369" s="54"/>
      <c r="E369" s="54"/>
    </row>
    <row r="370" spans="1:5" ht="15" customHeight="1">
      <c r="A370" s="61" t="s">
        <v>2345</v>
      </c>
      <c r="B370" s="61" t="s">
        <v>2344</v>
      </c>
      <c r="C370" s="55">
        <v>29.6</v>
      </c>
      <c r="D370" s="54"/>
      <c r="E370" s="54"/>
    </row>
    <row r="371" spans="1:5" ht="15" customHeight="1">
      <c r="A371" s="61" t="s">
        <v>2343</v>
      </c>
      <c r="B371" s="61" t="s">
        <v>2341</v>
      </c>
      <c r="C371" s="55">
        <v>78.8</v>
      </c>
      <c r="D371" s="54"/>
      <c r="E371" s="54"/>
    </row>
    <row r="372" spans="1:5" ht="15" customHeight="1">
      <c r="A372" s="61" t="s">
        <v>2342</v>
      </c>
      <c r="B372" s="61" t="s">
        <v>2341</v>
      </c>
      <c r="C372" s="55">
        <v>117.07</v>
      </c>
      <c r="D372" s="54"/>
      <c r="E372" s="54"/>
    </row>
    <row r="373" spans="1:5" ht="15" customHeight="1">
      <c r="A373" s="61" t="s">
        <v>2340</v>
      </c>
      <c r="B373" s="61" t="s">
        <v>2339</v>
      </c>
      <c r="C373" s="55">
        <v>270.64999999999998</v>
      </c>
      <c r="D373" s="54"/>
      <c r="E373" s="54"/>
    </row>
    <row r="374" spans="1:5" ht="15" customHeight="1">
      <c r="A374" s="61" t="s">
        <v>2338</v>
      </c>
      <c r="B374" s="61" t="s">
        <v>2337</v>
      </c>
      <c r="C374" s="55">
        <v>185.6</v>
      </c>
      <c r="D374" s="54"/>
      <c r="E374" s="54"/>
    </row>
    <row r="375" spans="1:5" ht="15" customHeight="1">
      <c r="A375" s="61" t="s">
        <v>2336</v>
      </c>
      <c r="B375" s="61" t="s">
        <v>2335</v>
      </c>
      <c r="C375" s="55">
        <v>225.6</v>
      </c>
      <c r="D375" s="54"/>
      <c r="E375" s="54"/>
    </row>
    <row r="376" spans="1:5" ht="15" customHeight="1">
      <c r="A376" s="61" t="s">
        <v>2334</v>
      </c>
      <c r="B376" s="61" t="s">
        <v>2333</v>
      </c>
      <c r="C376" s="55">
        <v>228.74</v>
      </c>
      <c r="D376" s="54"/>
      <c r="E376" s="54"/>
    </row>
    <row r="377" spans="1:5" ht="15" customHeight="1">
      <c r="A377" s="61" t="s">
        <v>2332</v>
      </c>
      <c r="B377" s="61" t="s">
        <v>2331</v>
      </c>
      <c r="C377" s="55">
        <v>71.260000000000005</v>
      </c>
      <c r="D377" s="54"/>
      <c r="E377" s="54"/>
    </row>
    <row r="378" spans="1:5" ht="15" customHeight="1">
      <c r="A378" s="61" t="s">
        <v>2330</v>
      </c>
      <c r="B378" s="61" t="s">
        <v>2329</v>
      </c>
      <c r="C378" s="55">
        <v>806.6</v>
      </c>
      <c r="D378" s="54"/>
      <c r="E378" s="54"/>
    </row>
    <row r="379" spans="1:5" ht="15" customHeight="1">
      <c r="A379" s="61" t="s">
        <v>2328</v>
      </c>
      <c r="B379" s="61" t="s">
        <v>2327</v>
      </c>
      <c r="C379" s="55">
        <v>411.84</v>
      </c>
      <c r="D379" s="54"/>
      <c r="E379" s="54"/>
    </row>
    <row r="380" spans="1:5" ht="15" customHeight="1">
      <c r="A380" s="61" t="s">
        <v>2326</v>
      </c>
      <c r="B380" s="61" t="s">
        <v>2325</v>
      </c>
      <c r="C380" s="55">
        <v>2.2799999999999998</v>
      </c>
      <c r="D380" s="54"/>
      <c r="E380" s="54"/>
    </row>
    <row r="381" spans="1:5" ht="15" customHeight="1">
      <c r="A381" s="61" t="s">
        <v>2324</v>
      </c>
      <c r="B381" s="61" t="s">
        <v>2323</v>
      </c>
      <c r="C381" s="55">
        <v>2.8</v>
      </c>
      <c r="D381" s="54"/>
      <c r="E381" s="54"/>
    </row>
    <row r="382" spans="1:5" ht="15" customHeight="1">
      <c r="A382" s="61" t="s">
        <v>2322</v>
      </c>
      <c r="B382" s="61" t="s">
        <v>2321</v>
      </c>
      <c r="C382" s="55">
        <v>33.18</v>
      </c>
      <c r="D382" s="54"/>
      <c r="E382" s="54"/>
    </row>
    <row r="383" spans="1:5" ht="15" customHeight="1">
      <c r="A383" s="61" t="s">
        <v>2320</v>
      </c>
      <c r="B383" s="61" t="s">
        <v>2319</v>
      </c>
      <c r="C383" s="55">
        <v>442.76</v>
      </c>
      <c r="D383" s="54"/>
      <c r="E383" s="54"/>
    </row>
    <row r="384" spans="1:5" ht="15" customHeight="1">
      <c r="A384" s="61" t="s">
        <v>2318</v>
      </c>
      <c r="B384" s="61" t="s">
        <v>2317</v>
      </c>
      <c r="C384" s="55">
        <v>93.98</v>
      </c>
      <c r="D384" s="54"/>
      <c r="E384" s="54"/>
    </row>
    <row r="385" spans="1:5" ht="15" customHeight="1">
      <c r="A385" s="61" t="s">
        <v>2316</v>
      </c>
      <c r="B385" s="61" t="s">
        <v>1642</v>
      </c>
      <c r="C385" s="55">
        <v>138.94999999999999</v>
      </c>
      <c r="D385" s="54"/>
      <c r="E385" s="54"/>
    </row>
    <row r="386" spans="1:5" ht="15" customHeight="1">
      <c r="A386" s="61" t="s">
        <v>2315</v>
      </c>
      <c r="B386" s="61" t="s">
        <v>2314</v>
      </c>
      <c r="C386" s="55">
        <v>246.14</v>
      </c>
      <c r="D386" s="54"/>
      <c r="E386" s="54"/>
    </row>
    <row r="387" spans="1:5" ht="15" customHeight="1">
      <c r="A387" s="61" t="s">
        <v>2313</v>
      </c>
      <c r="B387" s="61" t="s">
        <v>2312</v>
      </c>
      <c r="C387" s="55">
        <v>47.82</v>
      </c>
      <c r="D387" s="54"/>
      <c r="E387" s="54"/>
    </row>
    <row r="388" spans="1:5" ht="15" customHeight="1">
      <c r="A388" s="61" t="s">
        <v>2311</v>
      </c>
      <c r="B388" s="61" t="s">
        <v>2310</v>
      </c>
      <c r="C388" s="55">
        <v>22.8</v>
      </c>
      <c r="D388" s="54"/>
      <c r="E388" s="54"/>
    </row>
    <row r="389" spans="1:5" ht="15" customHeight="1">
      <c r="A389" s="61" t="s">
        <v>2309</v>
      </c>
      <c r="B389" s="61" t="s">
        <v>2308</v>
      </c>
      <c r="C389" s="55">
        <v>7.74</v>
      </c>
      <c r="D389" s="54"/>
      <c r="E389" s="54"/>
    </row>
    <row r="390" spans="1:5" ht="15" customHeight="1">
      <c r="A390" s="61" t="s">
        <v>2307</v>
      </c>
      <c r="B390" s="61" t="s">
        <v>2306</v>
      </c>
      <c r="C390" s="55">
        <v>299.92</v>
      </c>
      <c r="D390" s="54"/>
      <c r="E390" s="54"/>
    </row>
    <row r="391" spans="1:5" ht="15" customHeight="1">
      <c r="A391" s="61" t="s">
        <v>2305</v>
      </c>
      <c r="B391" s="61" t="s">
        <v>2304</v>
      </c>
      <c r="C391" s="55">
        <v>40.43</v>
      </c>
      <c r="D391" s="54"/>
      <c r="E391" s="54"/>
    </row>
    <row r="392" spans="1:5" ht="15" customHeight="1">
      <c r="A392" s="61" t="s">
        <v>2303</v>
      </c>
      <c r="B392" s="61" t="s">
        <v>2302</v>
      </c>
      <c r="C392" s="55">
        <v>1.5</v>
      </c>
      <c r="D392" s="54"/>
      <c r="E392" s="54"/>
    </row>
    <row r="393" spans="1:5" ht="15" customHeight="1">
      <c r="A393" s="61" t="s">
        <v>2301</v>
      </c>
      <c r="B393" s="61" t="s">
        <v>2300</v>
      </c>
      <c r="C393" s="55">
        <v>7.34</v>
      </c>
      <c r="D393" s="54"/>
      <c r="E393" s="54"/>
    </row>
    <row r="394" spans="1:5" ht="15" customHeight="1">
      <c r="A394" s="61" t="s">
        <v>2299</v>
      </c>
      <c r="B394" s="61" t="s">
        <v>2298</v>
      </c>
      <c r="C394" s="55">
        <v>1.82</v>
      </c>
      <c r="D394" s="54"/>
      <c r="E394" s="54"/>
    </row>
    <row r="395" spans="1:5" ht="15" customHeight="1">
      <c r="A395" s="61" t="s">
        <v>2297</v>
      </c>
      <c r="B395" s="61" t="s">
        <v>2296</v>
      </c>
      <c r="C395" s="55">
        <v>25.02</v>
      </c>
      <c r="D395" s="54"/>
      <c r="E395" s="54"/>
    </row>
    <row r="396" spans="1:5" ht="15" customHeight="1">
      <c r="A396" s="61" t="s">
        <v>2295</v>
      </c>
      <c r="B396" s="61" t="s">
        <v>2294</v>
      </c>
      <c r="C396" s="55">
        <v>67.08</v>
      </c>
      <c r="D396" s="54"/>
      <c r="E396" s="54"/>
    </row>
    <row r="397" spans="1:5" ht="15" customHeight="1">
      <c r="A397" s="61" t="s">
        <v>2293</v>
      </c>
      <c r="B397" s="61" t="s">
        <v>2292</v>
      </c>
      <c r="C397" s="55">
        <v>2</v>
      </c>
      <c r="D397" s="54"/>
      <c r="E397" s="54"/>
    </row>
    <row r="398" spans="1:5" ht="15" customHeight="1">
      <c r="A398" s="61" t="s">
        <v>2291</v>
      </c>
      <c r="B398" s="61" t="s">
        <v>2290</v>
      </c>
      <c r="C398" s="55">
        <v>143.6</v>
      </c>
      <c r="D398" s="54"/>
      <c r="E398" s="54"/>
    </row>
    <row r="399" spans="1:5" ht="15" customHeight="1">
      <c r="A399" s="61" t="s">
        <v>2289</v>
      </c>
      <c r="B399" s="61" t="s">
        <v>2288</v>
      </c>
      <c r="C399" s="55">
        <v>24.5</v>
      </c>
      <c r="D399" s="54"/>
      <c r="E399" s="54"/>
    </row>
    <row r="400" spans="1:5" ht="15" customHeight="1">
      <c r="A400" s="61" t="s">
        <v>2287</v>
      </c>
      <c r="B400" s="61" t="s">
        <v>2286</v>
      </c>
      <c r="C400" s="55">
        <v>418.56</v>
      </c>
      <c r="D400" s="54"/>
      <c r="E400" s="54"/>
    </row>
    <row r="401" spans="1:5" ht="15" customHeight="1">
      <c r="A401" s="61" t="s">
        <v>2285</v>
      </c>
      <c r="B401" s="61" t="s">
        <v>2284</v>
      </c>
      <c r="C401" s="55">
        <v>673.02</v>
      </c>
      <c r="D401" s="54"/>
      <c r="E401" s="54"/>
    </row>
    <row r="402" spans="1:5" ht="15" customHeight="1">
      <c r="A402" s="61" t="s">
        <v>2283</v>
      </c>
      <c r="B402" s="61" t="s">
        <v>2282</v>
      </c>
      <c r="C402" s="55">
        <v>652.66999999999996</v>
      </c>
      <c r="D402" s="54"/>
      <c r="E402" s="54"/>
    </row>
    <row r="403" spans="1:5" ht="15" customHeight="1">
      <c r="A403" s="61" t="s">
        <v>2281</v>
      </c>
      <c r="B403" s="61" t="s">
        <v>2280</v>
      </c>
      <c r="C403" s="55">
        <v>1129.8699999999999</v>
      </c>
      <c r="D403" s="54"/>
      <c r="E403" s="54"/>
    </row>
    <row r="404" spans="1:5" ht="15" customHeight="1">
      <c r="A404" s="61" t="s">
        <v>2279</v>
      </c>
      <c r="B404" s="61" t="s">
        <v>2278</v>
      </c>
      <c r="C404" s="55">
        <v>2126.4</v>
      </c>
      <c r="D404" s="54"/>
      <c r="E404" s="54"/>
    </row>
    <row r="405" spans="1:5" ht="15" customHeight="1">
      <c r="A405" s="61" t="s">
        <v>2277</v>
      </c>
      <c r="B405" s="61" t="s">
        <v>2276</v>
      </c>
      <c r="C405" s="55">
        <v>620.63</v>
      </c>
      <c r="D405" s="54"/>
      <c r="E405" s="54"/>
    </row>
    <row r="406" spans="1:5" ht="15" customHeight="1">
      <c r="A406" s="61" t="s">
        <v>2275</v>
      </c>
      <c r="B406" s="61" t="s">
        <v>2274</v>
      </c>
      <c r="C406" s="55">
        <v>1011.84</v>
      </c>
      <c r="D406" s="54"/>
      <c r="E406" s="54"/>
    </row>
    <row r="407" spans="1:5" ht="15" customHeight="1">
      <c r="A407" s="61" t="s">
        <v>2273</v>
      </c>
      <c r="B407" s="61" t="s">
        <v>2272</v>
      </c>
      <c r="C407" s="55">
        <v>537.6</v>
      </c>
      <c r="D407" s="54"/>
      <c r="E407" s="54"/>
    </row>
    <row r="408" spans="1:5" ht="15" customHeight="1">
      <c r="A408" s="61" t="s">
        <v>2271</v>
      </c>
      <c r="B408" s="61" t="s">
        <v>2270</v>
      </c>
      <c r="C408" s="55">
        <v>1622.4</v>
      </c>
      <c r="D408" s="54"/>
      <c r="E408" s="54"/>
    </row>
    <row r="409" spans="1:5" ht="15" customHeight="1">
      <c r="A409" s="61" t="s">
        <v>2269</v>
      </c>
      <c r="B409" s="61" t="s">
        <v>2268</v>
      </c>
      <c r="C409" s="55">
        <v>383.04</v>
      </c>
      <c r="D409" s="54"/>
      <c r="E409" s="54"/>
    </row>
    <row r="410" spans="1:5" ht="15" customHeight="1">
      <c r="A410" s="61" t="s">
        <v>2267</v>
      </c>
      <c r="B410" s="61" t="s">
        <v>695</v>
      </c>
      <c r="C410" s="55">
        <v>48</v>
      </c>
      <c r="D410" s="54"/>
      <c r="E410" s="54"/>
    </row>
    <row r="411" spans="1:5" ht="15" customHeight="1">
      <c r="A411" s="61" t="s">
        <v>2266</v>
      </c>
      <c r="B411" s="61" t="s">
        <v>2265</v>
      </c>
      <c r="C411" s="55">
        <v>674.25</v>
      </c>
      <c r="D411" s="54"/>
      <c r="E411" s="54"/>
    </row>
    <row r="412" spans="1:5" ht="15" customHeight="1">
      <c r="A412" s="61" t="s">
        <v>2264</v>
      </c>
      <c r="B412" s="61" t="s">
        <v>2263</v>
      </c>
      <c r="C412" s="55">
        <v>498.24</v>
      </c>
      <c r="D412" s="54"/>
      <c r="E412" s="54"/>
    </row>
    <row r="413" spans="1:5" ht="15" customHeight="1">
      <c r="A413" s="61" t="s">
        <v>2262</v>
      </c>
      <c r="B413" s="61" t="s">
        <v>2261</v>
      </c>
      <c r="C413" s="55">
        <v>656.77</v>
      </c>
      <c r="D413" s="54"/>
      <c r="E413" s="54"/>
    </row>
    <row r="414" spans="1:5" ht="15" customHeight="1">
      <c r="A414" s="61" t="s">
        <v>2260</v>
      </c>
      <c r="B414" s="61" t="s">
        <v>2259</v>
      </c>
      <c r="C414" s="55">
        <v>577.4</v>
      </c>
      <c r="D414" s="54"/>
      <c r="E414" s="54"/>
    </row>
    <row r="415" spans="1:5" ht="15" customHeight="1">
      <c r="A415" s="61" t="s">
        <v>2258</v>
      </c>
      <c r="B415" s="61" t="s">
        <v>2257</v>
      </c>
      <c r="C415" s="55">
        <v>3635.08</v>
      </c>
      <c r="D415" s="54"/>
      <c r="E415" s="54"/>
    </row>
    <row r="416" spans="1:5" ht="15" customHeight="1">
      <c r="A416" s="61" t="s">
        <v>2256</v>
      </c>
      <c r="B416" s="61" t="s">
        <v>2255</v>
      </c>
      <c r="C416" s="55">
        <v>317.92</v>
      </c>
      <c r="D416" s="54"/>
      <c r="E416" s="54"/>
    </row>
    <row r="417" spans="1:5" ht="15" customHeight="1">
      <c r="A417" s="61" t="s">
        <v>2254</v>
      </c>
      <c r="B417" s="61" t="s">
        <v>2253</v>
      </c>
      <c r="C417" s="55">
        <v>768</v>
      </c>
      <c r="D417" s="54"/>
      <c r="E417" s="54"/>
    </row>
    <row r="418" spans="1:5" ht="15" customHeight="1">
      <c r="A418" s="61" t="s">
        <v>2252</v>
      </c>
      <c r="B418" s="61" t="s">
        <v>2251</v>
      </c>
      <c r="C418" s="55">
        <v>623</v>
      </c>
      <c r="D418" s="54"/>
      <c r="E418" s="54"/>
    </row>
    <row r="419" spans="1:5" ht="15" customHeight="1">
      <c r="A419" s="61" t="s">
        <v>2250</v>
      </c>
      <c r="B419" s="61" t="s">
        <v>2249</v>
      </c>
      <c r="C419" s="55">
        <v>1032.96</v>
      </c>
      <c r="D419" s="54"/>
      <c r="E419" s="54"/>
    </row>
    <row r="420" spans="1:5" ht="15" customHeight="1">
      <c r="A420" s="61" t="s">
        <v>2248</v>
      </c>
      <c r="B420" s="61" t="s">
        <v>2247</v>
      </c>
      <c r="C420" s="55">
        <v>2665.92</v>
      </c>
      <c r="D420" s="54"/>
      <c r="E420" s="54"/>
    </row>
    <row r="421" spans="1:5" ht="15" customHeight="1">
      <c r="A421" s="61" t="s">
        <v>2246</v>
      </c>
      <c r="B421" s="61" t="s">
        <v>2245</v>
      </c>
      <c r="C421" s="55">
        <v>895.68</v>
      </c>
      <c r="D421" s="54"/>
      <c r="E421" s="54"/>
    </row>
    <row r="422" spans="1:5" ht="15" customHeight="1">
      <c r="A422" s="61" t="s">
        <v>2244</v>
      </c>
      <c r="B422" s="61" t="s">
        <v>2243</v>
      </c>
      <c r="C422" s="55">
        <v>4205.76</v>
      </c>
      <c r="D422" s="54"/>
      <c r="E422" s="54"/>
    </row>
    <row r="423" spans="1:5" ht="15" customHeight="1">
      <c r="A423" s="61" t="s">
        <v>2242</v>
      </c>
      <c r="B423" s="61" t="s">
        <v>2241</v>
      </c>
      <c r="C423" s="55">
        <v>280.07</v>
      </c>
      <c r="D423" s="54"/>
      <c r="E423" s="54"/>
    </row>
    <row r="424" spans="1:5" ht="15" customHeight="1">
      <c r="A424" s="61" t="s">
        <v>2240</v>
      </c>
      <c r="B424" s="61" t="s">
        <v>2239</v>
      </c>
      <c r="C424" s="55">
        <v>600</v>
      </c>
      <c r="D424" s="54"/>
      <c r="E424" s="54"/>
    </row>
    <row r="425" spans="1:5" ht="15" customHeight="1">
      <c r="A425" s="61" t="s">
        <v>2238</v>
      </c>
      <c r="B425" s="61" t="s">
        <v>2237</v>
      </c>
      <c r="C425" s="55">
        <v>14.4</v>
      </c>
      <c r="D425" s="54"/>
      <c r="E425" s="54"/>
    </row>
    <row r="426" spans="1:5" ht="15" customHeight="1">
      <c r="A426" s="61" t="s">
        <v>2236</v>
      </c>
      <c r="B426" s="61" t="s">
        <v>2235</v>
      </c>
      <c r="C426" s="55">
        <v>3.95</v>
      </c>
      <c r="D426" s="54"/>
      <c r="E426" s="54"/>
    </row>
    <row r="427" spans="1:5" ht="15" customHeight="1">
      <c r="A427" s="61" t="s">
        <v>2234</v>
      </c>
      <c r="B427" s="61" t="s">
        <v>2233</v>
      </c>
      <c r="C427" s="55">
        <v>2.5099999999999998</v>
      </c>
      <c r="D427" s="54"/>
      <c r="E427" s="54"/>
    </row>
    <row r="428" spans="1:5" ht="15" customHeight="1">
      <c r="A428" s="61" t="s">
        <v>2232</v>
      </c>
      <c r="B428" s="61" t="s">
        <v>2231</v>
      </c>
      <c r="C428" s="55">
        <v>4.8099999999999996</v>
      </c>
      <c r="D428" s="54"/>
      <c r="E428" s="54"/>
    </row>
    <row r="429" spans="1:5" ht="15" customHeight="1">
      <c r="A429" s="61" t="s">
        <v>2230</v>
      </c>
      <c r="B429" s="61" t="s">
        <v>2229</v>
      </c>
      <c r="C429" s="55">
        <v>1</v>
      </c>
      <c r="D429" s="54"/>
      <c r="E429" s="54"/>
    </row>
    <row r="430" spans="1:5" ht="15" customHeight="1">
      <c r="A430" s="61" t="s">
        <v>2228</v>
      </c>
      <c r="B430" s="61" t="s">
        <v>2227</v>
      </c>
      <c r="C430" s="55">
        <v>1</v>
      </c>
      <c r="D430" s="54"/>
      <c r="E430" s="54"/>
    </row>
    <row r="431" spans="1:5" ht="15" customHeight="1">
      <c r="A431" s="61" t="s">
        <v>2226</v>
      </c>
      <c r="B431" s="61" t="s">
        <v>2225</v>
      </c>
      <c r="C431" s="55">
        <v>1</v>
      </c>
      <c r="D431" s="54"/>
      <c r="E431" s="54"/>
    </row>
    <row r="432" spans="1:5" ht="15" customHeight="1">
      <c r="A432" s="61" t="s">
        <v>2224</v>
      </c>
      <c r="B432" s="61" t="s">
        <v>2223</v>
      </c>
      <c r="C432" s="55">
        <v>4.78</v>
      </c>
      <c r="D432" s="54"/>
      <c r="E432" s="54"/>
    </row>
    <row r="433" spans="1:5" ht="15" customHeight="1">
      <c r="A433" s="61" t="s">
        <v>2222</v>
      </c>
      <c r="B433" s="61" t="s">
        <v>2221</v>
      </c>
      <c r="C433" s="55">
        <v>17.71</v>
      </c>
      <c r="D433" s="54"/>
      <c r="E433" s="54"/>
    </row>
    <row r="434" spans="1:5" ht="15" customHeight="1">
      <c r="A434" s="61" t="s">
        <v>2220</v>
      </c>
      <c r="B434" s="61" t="s">
        <v>2219</v>
      </c>
      <c r="C434" s="55">
        <v>22.11</v>
      </c>
      <c r="D434" s="54"/>
      <c r="E434" s="54"/>
    </row>
    <row r="435" spans="1:5" ht="15" customHeight="1">
      <c r="A435" s="61" t="s">
        <v>2218</v>
      </c>
      <c r="B435" s="61" t="s">
        <v>2217</v>
      </c>
      <c r="C435" s="55">
        <v>12.85</v>
      </c>
      <c r="D435" s="54"/>
      <c r="E435" s="54"/>
    </row>
    <row r="436" spans="1:5" ht="15" customHeight="1">
      <c r="A436" s="61" t="s">
        <v>2216</v>
      </c>
      <c r="B436" s="61" t="s">
        <v>2215</v>
      </c>
      <c r="C436" s="55">
        <v>76.55</v>
      </c>
      <c r="D436" s="54"/>
      <c r="E436" s="54"/>
    </row>
    <row r="437" spans="1:5" ht="15" customHeight="1">
      <c r="A437" s="61" t="s">
        <v>2214</v>
      </c>
      <c r="B437" s="61" t="s">
        <v>2213</v>
      </c>
      <c r="C437" s="55">
        <v>2.35</v>
      </c>
      <c r="D437" s="54"/>
      <c r="E437" s="54"/>
    </row>
    <row r="438" spans="1:5" ht="15" customHeight="1">
      <c r="A438" s="61" t="s">
        <v>2212</v>
      </c>
      <c r="B438" s="61" t="s">
        <v>2211</v>
      </c>
      <c r="C438" s="55">
        <v>5.29</v>
      </c>
      <c r="D438" s="54"/>
      <c r="E438" s="54"/>
    </row>
    <row r="439" spans="1:5" ht="15" customHeight="1">
      <c r="A439" s="61" t="s">
        <v>2210</v>
      </c>
      <c r="B439" s="61" t="s">
        <v>2209</v>
      </c>
      <c r="C439" s="55">
        <v>210.87</v>
      </c>
      <c r="D439" s="54"/>
      <c r="E439" s="54"/>
    </row>
    <row r="440" spans="1:5" ht="15" customHeight="1">
      <c r="A440" s="61" t="s">
        <v>2208</v>
      </c>
      <c r="B440" s="61" t="s">
        <v>2207</v>
      </c>
      <c r="C440" s="55">
        <v>88.38</v>
      </c>
      <c r="D440" s="54"/>
      <c r="E440" s="54"/>
    </row>
    <row r="441" spans="1:5" ht="15" customHeight="1">
      <c r="A441" s="61" t="s">
        <v>2206</v>
      </c>
      <c r="B441" s="61" t="s">
        <v>2205</v>
      </c>
      <c r="C441" s="55">
        <v>45.9</v>
      </c>
      <c r="D441" s="54"/>
      <c r="E441" s="54"/>
    </row>
    <row r="442" spans="1:5" ht="15" customHeight="1">
      <c r="A442" s="61" t="s">
        <v>2204</v>
      </c>
      <c r="B442" s="61" t="s">
        <v>2203</v>
      </c>
      <c r="C442" s="55">
        <v>3.19</v>
      </c>
      <c r="D442" s="54"/>
      <c r="E442" s="54"/>
    </row>
    <row r="443" spans="1:5" ht="15" customHeight="1">
      <c r="A443" s="61" t="s">
        <v>2202</v>
      </c>
      <c r="B443" s="61" t="s">
        <v>2201</v>
      </c>
      <c r="C443" s="55">
        <v>397.15</v>
      </c>
      <c r="D443" s="54"/>
      <c r="E443" s="54"/>
    </row>
    <row r="444" spans="1:5" ht="15" customHeight="1">
      <c r="A444" s="61" t="s">
        <v>2200</v>
      </c>
      <c r="B444" s="61" t="s">
        <v>2199</v>
      </c>
      <c r="C444" s="55">
        <v>1.68</v>
      </c>
      <c r="D444" s="54"/>
      <c r="E444" s="54"/>
    </row>
    <row r="445" spans="1:5" ht="15" customHeight="1">
      <c r="A445" s="61" t="s">
        <v>2198</v>
      </c>
      <c r="B445" s="61" t="s">
        <v>2197</v>
      </c>
      <c r="C445" s="55">
        <v>25.9</v>
      </c>
      <c r="D445" s="54"/>
      <c r="E445" s="54"/>
    </row>
    <row r="446" spans="1:5" ht="15" customHeight="1">
      <c r="A446" s="61" t="s">
        <v>2196</v>
      </c>
      <c r="B446" s="61" t="s">
        <v>2195</v>
      </c>
      <c r="C446" s="55">
        <v>43.42</v>
      </c>
      <c r="D446" s="54"/>
      <c r="E446" s="54"/>
    </row>
    <row r="447" spans="1:5" ht="15" customHeight="1">
      <c r="A447" s="61" t="s">
        <v>2194</v>
      </c>
      <c r="B447" s="61" t="s">
        <v>2193</v>
      </c>
      <c r="C447" s="55">
        <v>2.17</v>
      </c>
      <c r="D447" s="54"/>
      <c r="E447" s="54"/>
    </row>
    <row r="448" spans="1:5" ht="15" customHeight="1">
      <c r="A448" s="61" t="s">
        <v>2192</v>
      </c>
      <c r="B448" s="61" t="s">
        <v>2191</v>
      </c>
      <c r="C448" s="55">
        <v>156</v>
      </c>
      <c r="D448" s="54"/>
      <c r="E448" s="54"/>
    </row>
    <row r="449" spans="1:5" ht="15" customHeight="1">
      <c r="A449" s="61" t="s">
        <v>2190</v>
      </c>
      <c r="B449" s="61" t="s">
        <v>2189</v>
      </c>
      <c r="C449" s="55">
        <v>110.55</v>
      </c>
      <c r="D449" s="54"/>
      <c r="E449" s="54"/>
    </row>
    <row r="450" spans="1:5" ht="15" customHeight="1">
      <c r="A450" s="61" t="s">
        <v>2188</v>
      </c>
      <c r="B450" s="61" t="s">
        <v>2183</v>
      </c>
      <c r="C450" s="55">
        <v>19.88</v>
      </c>
      <c r="D450" s="54"/>
      <c r="E450" s="54"/>
    </row>
    <row r="451" spans="1:5" ht="15" customHeight="1">
      <c r="A451" s="61" t="s">
        <v>2187</v>
      </c>
      <c r="B451" s="61" t="s">
        <v>2185</v>
      </c>
      <c r="C451" s="55">
        <v>6.46</v>
      </c>
      <c r="D451" s="54"/>
      <c r="E451" s="54"/>
    </row>
    <row r="452" spans="1:5" ht="15" customHeight="1">
      <c r="A452" s="61" t="s">
        <v>2186</v>
      </c>
      <c r="B452" s="61" t="s">
        <v>2185</v>
      </c>
      <c r="C452" s="55">
        <v>11.21</v>
      </c>
      <c r="D452" s="54"/>
      <c r="E452" s="54"/>
    </row>
    <row r="453" spans="1:5" ht="15" customHeight="1">
      <c r="A453" s="61" t="s">
        <v>2184</v>
      </c>
      <c r="B453" s="61" t="s">
        <v>2183</v>
      </c>
      <c r="C453" s="55">
        <v>30.25</v>
      </c>
      <c r="D453" s="54"/>
      <c r="E453" s="54"/>
    </row>
    <row r="454" spans="1:5" ht="15" customHeight="1">
      <c r="A454" s="61" t="s">
        <v>2182</v>
      </c>
      <c r="B454" s="61" t="s">
        <v>2181</v>
      </c>
      <c r="C454" s="55">
        <v>3.73</v>
      </c>
      <c r="D454" s="54"/>
      <c r="E454" s="54"/>
    </row>
    <row r="455" spans="1:5" ht="15" customHeight="1">
      <c r="A455" s="61" t="s">
        <v>2180</v>
      </c>
      <c r="B455" s="61" t="s">
        <v>2179</v>
      </c>
      <c r="C455" s="55">
        <v>3.73</v>
      </c>
      <c r="D455" s="54"/>
      <c r="E455" s="54"/>
    </row>
    <row r="456" spans="1:5" ht="15" customHeight="1">
      <c r="A456" s="61" t="s">
        <v>2178</v>
      </c>
      <c r="B456" s="61" t="s">
        <v>2177</v>
      </c>
      <c r="C456" s="55">
        <v>56.4</v>
      </c>
      <c r="D456" s="54"/>
      <c r="E456" s="54"/>
    </row>
    <row r="457" spans="1:5" ht="15" customHeight="1">
      <c r="A457" s="61" t="s">
        <v>2176</v>
      </c>
      <c r="B457" s="61" t="s">
        <v>2175</v>
      </c>
      <c r="C457" s="55">
        <v>7.19</v>
      </c>
      <c r="D457" s="54"/>
      <c r="E457" s="54"/>
    </row>
    <row r="458" spans="1:5" ht="15" customHeight="1">
      <c r="A458" s="61" t="s">
        <v>2174</v>
      </c>
      <c r="B458" s="61" t="s">
        <v>2173</v>
      </c>
      <c r="C458" s="55">
        <v>26.32</v>
      </c>
      <c r="D458" s="54"/>
      <c r="E458" s="54"/>
    </row>
    <row r="459" spans="1:5" ht="15" customHeight="1">
      <c r="A459" s="61" t="s">
        <v>2172</v>
      </c>
      <c r="B459" s="61" t="s">
        <v>2171</v>
      </c>
      <c r="C459" s="55">
        <v>33.78</v>
      </c>
      <c r="D459" s="54"/>
      <c r="E459" s="54"/>
    </row>
    <row r="460" spans="1:5" ht="15" customHeight="1">
      <c r="A460" s="61" t="s">
        <v>2170</v>
      </c>
      <c r="B460" s="61" t="s">
        <v>2169</v>
      </c>
      <c r="C460" s="55">
        <v>9.0500000000000007</v>
      </c>
      <c r="D460" s="54"/>
      <c r="E460" s="54"/>
    </row>
    <row r="461" spans="1:5" ht="15" customHeight="1">
      <c r="A461" s="61" t="s">
        <v>2168</v>
      </c>
      <c r="B461" s="61" t="s">
        <v>2167</v>
      </c>
      <c r="C461" s="55">
        <v>5.56</v>
      </c>
      <c r="D461" s="54"/>
      <c r="E461" s="54"/>
    </row>
    <row r="462" spans="1:5" ht="15" customHeight="1">
      <c r="A462" s="61" t="s">
        <v>2166</v>
      </c>
      <c r="B462" s="61" t="s">
        <v>2165</v>
      </c>
      <c r="C462" s="55">
        <v>193.34</v>
      </c>
      <c r="D462" s="54"/>
      <c r="E462" s="54"/>
    </row>
    <row r="463" spans="1:5" ht="15" customHeight="1">
      <c r="A463" s="61" t="s">
        <v>2164</v>
      </c>
      <c r="B463" s="61" t="s">
        <v>2163</v>
      </c>
      <c r="C463" s="55">
        <v>413.91</v>
      </c>
      <c r="D463" s="54"/>
      <c r="E463" s="54"/>
    </row>
    <row r="464" spans="1:5" ht="15" customHeight="1">
      <c r="A464" s="61" t="s">
        <v>2162</v>
      </c>
      <c r="B464" s="61" t="s">
        <v>2161</v>
      </c>
      <c r="C464" s="55">
        <v>120.04</v>
      </c>
      <c r="D464" s="54"/>
      <c r="E464" s="54"/>
    </row>
    <row r="465" spans="1:5" ht="15" customHeight="1">
      <c r="A465" s="61" t="s">
        <v>2160</v>
      </c>
      <c r="B465" s="61" t="s">
        <v>2159</v>
      </c>
      <c r="C465" s="55">
        <v>215.35</v>
      </c>
      <c r="D465" s="54"/>
      <c r="E465" s="54"/>
    </row>
    <row r="466" spans="1:5" ht="15" customHeight="1">
      <c r="A466" s="61" t="s">
        <v>2158</v>
      </c>
      <c r="B466" s="61" t="s">
        <v>2157</v>
      </c>
      <c r="C466" s="55">
        <v>15.65</v>
      </c>
      <c r="D466" s="54"/>
      <c r="E466" s="54"/>
    </row>
    <row r="467" spans="1:5" ht="15" customHeight="1">
      <c r="A467" s="61" t="s">
        <v>2156</v>
      </c>
      <c r="B467" s="61" t="s">
        <v>2155</v>
      </c>
      <c r="C467" s="55">
        <v>43.79</v>
      </c>
      <c r="D467" s="54"/>
      <c r="E467" s="54"/>
    </row>
    <row r="468" spans="1:5" ht="15" customHeight="1">
      <c r="A468" s="61" t="s">
        <v>2154</v>
      </c>
      <c r="B468" s="61" t="s">
        <v>2153</v>
      </c>
      <c r="C468" s="55">
        <v>14.38</v>
      </c>
      <c r="D468" s="54"/>
      <c r="E468" s="54"/>
    </row>
    <row r="469" spans="1:5" ht="15" customHeight="1">
      <c r="A469" s="61" t="s">
        <v>2152</v>
      </c>
      <c r="B469" s="61" t="s">
        <v>2151</v>
      </c>
      <c r="C469" s="55">
        <v>16.45</v>
      </c>
      <c r="D469" s="54"/>
      <c r="E469" s="54"/>
    </row>
    <row r="470" spans="1:5" ht="15" customHeight="1">
      <c r="A470" s="61" t="s">
        <v>2150</v>
      </c>
      <c r="B470" s="61" t="s">
        <v>2148</v>
      </c>
      <c r="C470" s="55">
        <v>12.62</v>
      </c>
      <c r="D470" s="54"/>
      <c r="E470" s="54"/>
    </row>
    <row r="471" spans="1:5" ht="15" customHeight="1">
      <c r="A471" s="61" t="s">
        <v>2149</v>
      </c>
      <c r="B471" s="61" t="s">
        <v>2148</v>
      </c>
      <c r="C471" s="55">
        <v>36.49</v>
      </c>
      <c r="D471" s="54"/>
      <c r="E471" s="54"/>
    </row>
    <row r="472" spans="1:5" ht="15" customHeight="1">
      <c r="A472" s="61" t="s">
        <v>2147</v>
      </c>
      <c r="B472" s="61" t="s">
        <v>2146</v>
      </c>
      <c r="C472" s="55">
        <v>263.76</v>
      </c>
      <c r="D472" s="54"/>
      <c r="E472" s="54"/>
    </row>
    <row r="473" spans="1:5" ht="15" customHeight="1">
      <c r="A473" s="61" t="s">
        <v>2145</v>
      </c>
      <c r="B473" s="61" t="s">
        <v>2144</v>
      </c>
      <c r="C473" s="55">
        <v>10.74</v>
      </c>
      <c r="D473" s="54"/>
      <c r="E473" s="54"/>
    </row>
    <row r="474" spans="1:5" ht="15" customHeight="1">
      <c r="A474" s="61" t="s">
        <v>2143</v>
      </c>
      <c r="B474" s="61" t="s">
        <v>2142</v>
      </c>
      <c r="C474" s="55">
        <v>140.97999999999999</v>
      </c>
      <c r="D474" s="54"/>
      <c r="E474" s="54"/>
    </row>
    <row r="475" spans="1:5" ht="15" customHeight="1">
      <c r="A475" s="61" t="s">
        <v>2141</v>
      </c>
      <c r="B475" s="61" t="s">
        <v>2140</v>
      </c>
      <c r="C475" s="55">
        <v>11.09</v>
      </c>
      <c r="D475" s="54"/>
      <c r="E475" s="54"/>
    </row>
    <row r="476" spans="1:5" ht="15" customHeight="1">
      <c r="A476" s="61" t="s">
        <v>2139</v>
      </c>
      <c r="B476" s="61" t="s">
        <v>2138</v>
      </c>
      <c r="C476" s="55">
        <v>334.01</v>
      </c>
      <c r="D476" s="54"/>
      <c r="E476" s="54"/>
    </row>
    <row r="477" spans="1:5" ht="15" customHeight="1">
      <c r="A477" s="61" t="s">
        <v>2137</v>
      </c>
      <c r="B477" s="61" t="s">
        <v>2136</v>
      </c>
      <c r="C477" s="55">
        <v>61.24</v>
      </c>
      <c r="D477" s="54"/>
      <c r="E477" s="54"/>
    </row>
    <row r="478" spans="1:5" ht="15" customHeight="1">
      <c r="A478" s="61" t="s">
        <v>2135</v>
      </c>
      <c r="B478" s="61" t="s">
        <v>2134</v>
      </c>
      <c r="C478" s="55">
        <v>56.33</v>
      </c>
      <c r="D478" s="54"/>
      <c r="E478" s="54"/>
    </row>
    <row r="479" spans="1:5" ht="15" customHeight="1">
      <c r="A479" s="61" t="s">
        <v>2133</v>
      </c>
      <c r="B479" s="61" t="s">
        <v>2132</v>
      </c>
      <c r="C479" s="55">
        <v>175.28</v>
      </c>
      <c r="D479" s="54"/>
      <c r="E479" s="54"/>
    </row>
    <row r="480" spans="1:5" ht="15" customHeight="1">
      <c r="A480" s="61" t="s">
        <v>2131</v>
      </c>
      <c r="B480" s="61" t="s">
        <v>2130</v>
      </c>
      <c r="C480" s="55">
        <v>4.7</v>
      </c>
      <c r="D480" s="54"/>
      <c r="E480" s="54"/>
    </row>
    <row r="481" spans="1:5" ht="15" customHeight="1">
      <c r="A481" s="61" t="s">
        <v>2129</v>
      </c>
      <c r="B481" s="61" t="s">
        <v>2128</v>
      </c>
      <c r="C481" s="55">
        <v>11.73</v>
      </c>
      <c r="D481" s="54"/>
      <c r="E481" s="54"/>
    </row>
    <row r="482" spans="1:5" ht="15" customHeight="1">
      <c r="A482" s="61" t="s">
        <v>2127</v>
      </c>
      <c r="B482" s="61" t="s">
        <v>2084</v>
      </c>
      <c r="C482" s="55">
        <v>16.66</v>
      </c>
      <c r="D482" s="54"/>
      <c r="E482" s="54"/>
    </row>
    <row r="483" spans="1:5" ht="15" customHeight="1">
      <c r="A483" s="61" t="s">
        <v>2126</v>
      </c>
      <c r="B483" s="61" t="s">
        <v>2125</v>
      </c>
      <c r="C483" s="55">
        <v>18.38</v>
      </c>
      <c r="D483" s="54"/>
      <c r="E483" s="54"/>
    </row>
    <row r="484" spans="1:5" ht="15" customHeight="1">
      <c r="A484" s="61" t="s">
        <v>2124</v>
      </c>
      <c r="B484" s="61" t="s">
        <v>2123</v>
      </c>
      <c r="C484" s="55">
        <v>8.33</v>
      </c>
      <c r="D484" s="54"/>
      <c r="E484" s="54"/>
    </row>
    <row r="485" spans="1:5" ht="15" customHeight="1">
      <c r="A485" s="61" t="s">
        <v>2122</v>
      </c>
      <c r="B485" s="61" t="s">
        <v>2121</v>
      </c>
      <c r="C485" s="55">
        <v>3.32</v>
      </c>
      <c r="D485" s="54"/>
      <c r="E485" s="54"/>
    </row>
    <row r="486" spans="1:5" ht="15" customHeight="1">
      <c r="A486" s="61" t="s">
        <v>2120</v>
      </c>
      <c r="B486" s="61" t="s">
        <v>2119</v>
      </c>
      <c r="C486" s="55">
        <v>20.45</v>
      </c>
      <c r="D486" s="54"/>
      <c r="E486" s="54"/>
    </row>
    <row r="487" spans="1:5" ht="15" customHeight="1">
      <c r="A487" s="61" t="s">
        <v>2118</v>
      </c>
      <c r="B487" s="61" t="s">
        <v>2114</v>
      </c>
      <c r="C487" s="55">
        <v>67.16</v>
      </c>
      <c r="D487" s="54"/>
      <c r="E487" s="54"/>
    </row>
    <row r="488" spans="1:5" ht="15" customHeight="1">
      <c r="A488" s="61" t="s">
        <v>2117</v>
      </c>
      <c r="B488" s="61" t="s">
        <v>2116</v>
      </c>
      <c r="C488" s="55">
        <v>67.16</v>
      </c>
      <c r="D488" s="54"/>
      <c r="E488" s="54"/>
    </row>
    <row r="489" spans="1:5" ht="15" customHeight="1">
      <c r="A489" s="61" t="s">
        <v>2115</v>
      </c>
      <c r="B489" s="61" t="s">
        <v>2114</v>
      </c>
      <c r="C489" s="55">
        <v>67.16</v>
      </c>
      <c r="D489" s="54"/>
      <c r="E489" s="54"/>
    </row>
    <row r="490" spans="1:5" ht="15" customHeight="1">
      <c r="A490" s="61" t="s">
        <v>2113</v>
      </c>
      <c r="B490" s="61" t="s">
        <v>2112</v>
      </c>
      <c r="C490" s="55">
        <v>8.68</v>
      </c>
      <c r="D490" s="54"/>
      <c r="E490" s="54"/>
    </row>
    <row r="491" spans="1:5" ht="15" customHeight="1">
      <c r="A491" s="61" t="s">
        <v>2111</v>
      </c>
      <c r="B491" s="61" t="s">
        <v>2110</v>
      </c>
      <c r="C491" s="55">
        <v>217.17</v>
      </c>
      <c r="D491" s="54"/>
      <c r="E491" s="54"/>
    </row>
    <row r="492" spans="1:5" ht="15" customHeight="1">
      <c r="A492" s="61" t="s">
        <v>2109</v>
      </c>
      <c r="B492" s="61" t="s">
        <v>2108</v>
      </c>
      <c r="C492" s="55">
        <v>22.93</v>
      </c>
      <c r="D492" s="54"/>
      <c r="E492" s="54"/>
    </row>
    <row r="493" spans="1:5" ht="15" customHeight="1">
      <c r="A493" s="61" t="s">
        <v>2107</v>
      </c>
      <c r="B493" s="61" t="s">
        <v>2106</v>
      </c>
      <c r="C493" s="55">
        <v>39.799999999999997</v>
      </c>
      <c r="D493" s="54"/>
      <c r="E493" s="54"/>
    </row>
    <row r="494" spans="1:5" ht="15" customHeight="1">
      <c r="A494" s="61" t="s">
        <v>2105</v>
      </c>
      <c r="B494" s="61" t="s">
        <v>2104</v>
      </c>
      <c r="C494" s="55">
        <v>25.76</v>
      </c>
      <c r="D494" s="54"/>
      <c r="E494" s="54"/>
    </row>
    <row r="495" spans="1:5" ht="15" customHeight="1">
      <c r="A495" s="61" t="s">
        <v>2103</v>
      </c>
      <c r="B495" s="61" t="s">
        <v>2102</v>
      </c>
      <c r="C495" s="55">
        <v>53.8</v>
      </c>
      <c r="D495" s="54"/>
      <c r="E495" s="54"/>
    </row>
    <row r="496" spans="1:5" ht="15" customHeight="1">
      <c r="A496" s="61" t="s">
        <v>2101</v>
      </c>
      <c r="B496" s="61" t="s">
        <v>2100</v>
      </c>
      <c r="C496" s="55">
        <v>34.28</v>
      </c>
      <c r="D496" s="54"/>
      <c r="E496" s="54"/>
    </row>
    <row r="497" spans="1:5" ht="15" customHeight="1">
      <c r="A497" s="61" t="s">
        <v>2099</v>
      </c>
      <c r="B497" s="61" t="s">
        <v>2098</v>
      </c>
      <c r="C497" s="55">
        <v>29.23</v>
      </c>
      <c r="D497" s="54"/>
      <c r="E497" s="54"/>
    </row>
    <row r="498" spans="1:5" ht="15" customHeight="1">
      <c r="A498" s="61" t="s">
        <v>2097</v>
      </c>
      <c r="B498" s="61" t="s">
        <v>2096</v>
      </c>
      <c r="C498" s="55">
        <v>111.3</v>
      </c>
      <c r="D498" s="54"/>
      <c r="E498" s="54"/>
    </row>
    <row r="499" spans="1:5" ht="15" customHeight="1">
      <c r="A499" s="61" t="s">
        <v>2095</v>
      </c>
      <c r="B499" s="61" t="s">
        <v>2094</v>
      </c>
      <c r="C499" s="55">
        <v>9.0399999999999991</v>
      </c>
      <c r="D499" s="54"/>
      <c r="E499" s="54"/>
    </row>
    <row r="500" spans="1:5" ht="15" customHeight="1">
      <c r="A500" s="61" t="s">
        <v>2093</v>
      </c>
      <c r="B500" s="61" t="s">
        <v>2092</v>
      </c>
      <c r="C500" s="55">
        <v>12.17</v>
      </c>
      <c r="D500" s="54"/>
      <c r="E500" s="54"/>
    </row>
    <row r="501" spans="1:5" ht="15" customHeight="1">
      <c r="A501" s="61" t="s">
        <v>2091</v>
      </c>
      <c r="B501" s="61" t="s">
        <v>2090</v>
      </c>
      <c r="C501" s="55">
        <v>4.05</v>
      </c>
      <c r="D501" s="54"/>
      <c r="E501" s="54"/>
    </row>
    <row r="502" spans="1:5" ht="15" customHeight="1">
      <c r="A502" s="61" t="s">
        <v>2089</v>
      </c>
      <c r="B502" s="61" t="s">
        <v>2088</v>
      </c>
      <c r="C502" s="55">
        <v>10.73</v>
      </c>
      <c r="D502" s="54"/>
      <c r="E502" s="54"/>
    </row>
    <row r="503" spans="1:5" ht="15" customHeight="1">
      <c r="A503" s="61" t="s">
        <v>2087</v>
      </c>
      <c r="B503" s="61" t="s">
        <v>2086</v>
      </c>
      <c r="C503" s="55">
        <v>12.05</v>
      </c>
      <c r="D503" s="54"/>
      <c r="E503" s="54"/>
    </row>
    <row r="504" spans="1:5" ht="15" customHeight="1">
      <c r="A504" s="61" t="s">
        <v>2085</v>
      </c>
      <c r="B504" s="61" t="s">
        <v>2084</v>
      </c>
      <c r="C504" s="55">
        <v>9.66</v>
      </c>
      <c r="D504" s="54"/>
      <c r="E504" s="54"/>
    </row>
    <row r="505" spans="1:5" ht="15" customHeight="1">
      <c r="A505" s="61" t="s">
        <v>2083</v>
      </c>
      <c r="B505" s="61" t="s">
        <v>2082</v>
      </c>
      <c r="C505" s="55">
        <v>26.83</v>
      </c>
      <c r="D505" s="54"/>
      <c r="E505" s="54"/>
    </row>
    <row r="506" spans="1:5" ht="15" customHeight="1">
      <c r="A506" s="61" t="s">
        <v>2081</v>
      </c>
      <c r="B506" s="61" t="s">
        <v>2080</v>
      </c>
      <c r="C506" s="55">
        <v>3.84</v>
      </c>
      <c r="D506" s="54"/>
      <c r="E506" s="54"/>
    </row>
    <row r="507" spans="1:5" ht="15" customHeight="1">
      <c r="A507" s="61" t="s">
        <v>2079</v>
      </c>
      <c r="B507" s="61" t="s">
        <v>2078</v>
      </c>
      <c r="C507" s="55">
        <v>44.5</v>
      </c>
      <c r="D507" s="54"/>
      <c r="E507" s="54"/>
    </row>
    <row r="508" spans="1:5" ht="15" customHeight="1">
      <c r="A508" s="61" t="s">
        <v>2077</v>
      </c>
      <c r="B508" s="61" t="s">
        <v>2076</v>
      </c>
      <c r="C508" s="55">
        <v>183.03</v>
      </c>
      <c r="D508" s="54"/>
      <c r="E508" s="54"/>
    </row>
    <row r="509" spans="1:5" ht="15" customHeight="1">
      <c r="A509" s="61" t="s">
        <v>2075</v>
      </c>
      <c r="B509" s="61" t="s">
        <v>2074</v>
      </c>
      <c r="C509" s="55">
        <v>45.12</v>
      </c>
      <c r="D509" s="54"/>
      <c r="E509" s="54"/>
    </row>
    <row r="510" spans="1:5" ht="15" customHeight="1">
      <c r="A510" s="61" t="s">
        <v>2073</v>
      </c>
      <c r="B510" s="61" t="s">
        <v>2072</v>
      </c>
      <c r="C510" s="55">
        <v>31.72</v>
      </c>
      <c r="D510" s="54"/>
      <c r="E510" s="54"/>
    </row>
    <row r="511" spans="1:5" ht="15" customHeight="1">
      <c r="A511" s="61" t="s">
        <v>2071</v>
      </c>
      <c r="B511" s="61" t="s">
        <v>2070</v>
      </c>
      <c r="C511" s="55">
        <v>15.05</v>
      </c>
      <c r="D511" s="54"/>
      <c r="E511" s="54"/>
    </row>
    <row r="512" spans="1:5" ht="15" customHeight="1">
      <c r="A512" s="61" t="s">
        <v>2069</v>
      </c>
      <c r="B512" s="61" t="s">
        <v>2068</v>
      </c>
      <c r="C512" s="55">
        <v>9.26</v>
      </c>
      <c r="D512" s="54"/>
      <c r="E512" s="54"/>
    </row>
    <row r="513" spans="1:5" ht="15" customHeight="1">
      <c r="A513" s="61" t="s">
        <v>2067</v>
      </c>
      <c r="B513" s="61" t="s">
        <v>2066</v>
      </c>
      <c r="C513" s="55">
        <v>21.22</v>
      </c>
      <c r="D513" s="54"/>
      <c r="E513" s="54"/>
    </row>
    <row r="514" spans="1:5" ht="15" customHeight="1">
      <c r="A514" s="61" t="s">
        <v>2065</v>
      </c>
      <c r="B514" s="61" t="s">
        <v>2064</v>
      </c>
      <c r="C514" s="55">
        <v>286.14</v>
      </c>
      <c r="D514" s="54"/>
      <c r="E514" s="54"/>
    </row>
    <row r="515" spans="1:5" ht="15" customHeight="1">
      <c r="A515" s="61" t="s">
        <v>2063</v>
      </c>
      <c r="B515" s="61" t="s">
        <v>2062</v>
      </c>
      <c r="C515" s="55">
        <v>156.83000000000001</v>
      </c>
      <c r="D515" s="54"/>
      <c r="E515" s="54"/>
    </row>
    <row r="516" spans="1:5" ht="15" customHeight="1">
      <c r="A516" s="61" t="s">
        <v>2061</v>
      </c>
      <c r="B516" s="61" t="s">
        <v>2060</v>
      </c>
      <c r="C516" s="55">
        <v>150.75</v>
      </c>
      <c r="D516" s="54"/>
      <c r="E516" s="54"/>
    </row>
    <row r="517" spans="1:5" ht="15" customHeight="1">
      <c r="A517" s="61" t="s">
        <v>2059</v>
      </c>
      <c r="B517" s="61" t="s">
        <v>2058</v>
      </c>
      <c r="C517" s="55">
        <v>156.83000000000001</v>
      </c>
      <c r="D517" s="54"/>
      <c r="E517" s="54"/>
    </row>
    <row r="518" spans="1:5" ht="15" customHeight="1">
      <c r="A518" s="61" t="s">
        <v>2057</v>
      </c>
      <c r="B518" s="61" t="s">
        <v>2056</v>
      </c>
      <c r="C518" s="55">
        <v>97.52</v>
      </c>
      <c r="D518" s="54"/>
      <c r="E518" s="54"/>
    </row>
    <row r="519" spans="1:5" ht="15" customHeight="1">
      <c r="A519" s="61" t="s">
        <v>2055</v>
      </c>
      <c r="B519" s="61" t="s">
        <v>2054</v>
      </c>
      <c r="C519" s="55">
        <v>385.19</v>
      </c>
      <c r="D519" s="54"/>
      <c r="E519" s="54"/>
    </row>
    <row r="520" spans="1:5" ht="15" customHeight="1">
      <c r="A520" s="61" t="s">
        <v>2053</v>
      </c>
      <c r="B520" s="61" t="s">
        <v>2052</v>
      </c>
      <c r="C520" s="55">
        <v>168</v>
      </c>
      <c r="D520" s="54"/>
      <c r="E520" s="54"/>
    </row>
    <row r="521" spans="1:5" ht="15" customHeight="1">
      <c r="A521" s="61" t="s">
        <v>2051</v>
      </c>
      <c r="B521" s="61" t="s">
        <v>2050</v>
      </c>
      <c r="C521" s="55">
        <v>78.11</v>
      </c>
      <c r="D521" s="54"/>
      <c r="E521" s="54"/>
    </row>
    <row r="522" spans="1:5" ht="15" customHeight="1">
      <c r="A522" s="61" t="s">
        <v>2049</v>
      </c>
      <c r="B522" s="61" t="s">
        <v>2048</v>
      </c>
      <c r="C522" s="55">
        <v>64.8</v>
      </c>
      <c r="D522" s="54"/>
      <c r="E522" s="54"/>
    </row>
    <row r="523" spans="1:5" ht="15" customHeight="1">
      <c r="A523" s="61" t="s">
        <v>2047</v>
      </c>
      <c r="B523" s="61" t="s">
        <v>2046</v>
      </c>
      <c r="C523" s="55">
        <v>64.8</v>
      </c>
      <c r="D523" s="54"/>
      <c r="E523" s="54"/>
    </row>
    <row r="524" spans="1:5" ht="15" customHeight="1">
      <c r="A524" s="61" t="s">
        <v>2045</v>
      </c>
      <c r="B524" s="61" t="s">
        <v>2044</v>
      </c>
      <c r="C524" s="55">
        <v>64.8</v>
      </c>
      <c r="D524" s="54"/>
      <c r="E524" s="54"/>
    </row>
    <row r="525" spans="1:5" ht="15" customHeight="1">
      <c r="A525" s="61" t="s">
        <v>2043</v>
      </c>
      <c r="B525" s="61" t="s">
        <v>1914</v>
      </c>
      <c r="C525" s="55">
        <v>98.59</v>
      </c>
      <c r="D525" s="54"/>
      <c r="E525" s="54"/>
    </row>
    <row r="526" spans="1:5" ht="15" customHeight="1">
      <c r="A526" s="61" t="s">
        <v>2042</v>
      </c>
      <c r="B526" s="61" t="s">
        <v>2041</v>
      </c>
      <c r="C526" s="55">
        <v>73.39</v>
      </c>
      <c r="D526" s="54"/>
      <c r="E526" s="54"/>
    </row>
    <row r="527" spans="1:5" ht="15" customHeight="1">
      <c r="A527" s="61" t="s">
        <v>2040</v>
      </c>
      <c r="B527" s="61" t="s">
        <v>2039</v>
      </c>
      <c r="C527" s="55">
        <v>116.23</v>
      </c>
      <c r="D527" s="54"/>
      <c r="E527" s="54"/>
    </row>
    <row r="528" spans="1:5" ht="15" customHeight="1">
      <c r="A528" s="61" t="s">
        <v>2038</v>
      </c>
      <c r="B528" s="61" t="s">
        <v>2037</v>
      </c>
      <c r="C528" s="55">
        <v>59.4</v>
      </c>
      <c r="D528" s="54"/>
      <c r="E528" s="54"/>
    </row>
    <row r="529" spans="1:5" ht="15" customHeight="1">
      <c r="A529" s="61" t="s">
        <v>2036</v>
      </c>
      <c r="B529" s="61" t="s">
        <v>2035</v>
      </c>
      <c r="C529" s="55">
        <v>102.15</v>
      </c>
      <c r="D529" s="54"/>
      <c r="E529" s="54"/>
    </row>
    <row r="530" spans="1:5" ht="15" customHeight="1">
      <c r="A530" s="61" t="s">
        <v>2034</v>
      </c>
      <c r="B530" s="61" t="s">
        <v>2033</v>
      </c>
      <c r="C530" s="55">
        <v>123.55</v>
      </c>
      <c r="D530" s="54"/>
      <c r="E530" s="54"/>
    </row>
    <row r="531" spans="1:5" ht="15" customHeight="1">
      <c r="A531" s="61" t="s">
        <v>2032</v>
      </c>
      <c r="B531" s="61" t="s">
        <v>2031</v>
      </c>
      <c r="C531" s="55">
        <v>49.92</v>
      </c>
      <c r="D531" s="54"/>
      <c r="E531" s="54"/>
    </row>
    <row r="532" spans="1:5" ht="15" customHeight="1">
      <c r="A532" s="61" t="s">
        <v>2030</v>
      </c>
      <c r="B532" s="61" t="s">
        <v>2029</v>
      </c>
      <c r="C532" s="55">
        <v>124.84</v>
      </c>
      <c r="D532" s="54"/>
      <c r="E532" s="54"/>
    </row>
    <row r="533" spans="1:5" ht="15" customHeight="1">
      <c r="A533" s="61" t="s">
        <v>2028</v>
      </c>
      <c r="B533" s="61" t="s">
        <v>2027</v>
      </c>
      <c r="C533" s="55">
        <v>59.9</v>
      </c>
      <c r="D533" s="54"/>
      <c r="E533" s="54"/>
    </row>
    <row r="534" spans="1:5" ht="15" customHeight="1">
      <c r="A534" s="61" t="s">
        <v>2026</v>
      </c>
      <c r="B534" s="61" t="s">
        <v>2025</v>
      </c>
      <c r="C534" s="55">
        <v>59.9</v>
      </c>
      <c r="D534" s="54"/>
      <c r="E534" s="54"/>
    </row>
    <row r="535" spans="1:5" ht="15" customHeight="1">
      <c r="A535" s="61" t="s">
        <v>2024</v>
      </c>
      <c r="B535" s="61" t="s">
        <v>2023</v>
      </c>
      <c r="C535" s="55">
        <v>84.41</v>
      </c>
      <c r="D535" s="54"/>
      <c r="E535" s="54"/>
    </row>
    <row r="536" spans="1:5" ht="15" customHeight="1">
      <c r="A536" s="61" t="s">
        <v>2022</v>
      </c>
      <c r="B536" s="61" t="s">
        <v>2021</v>
      </c>
      <c r="C536" s="55">
        <v>50.91</v>
      </c>
      <c r="D536" s="54"/>
      <c r="E536" s="54"/>
    </row>
    <row r="537" spans="1:5" ht="15" customHeight="1">
      <c r="A537" s="61" t="s">
        <v>2020</v>
      </c>
      <c r="B537" s="61" t="s">
        <v>2019</v>
      </c>
      <c r="C537" s="55">
        <v>26.96</v>
      </c>
      <c r="D537" s="54"/>
      <c r="E537" s="54"/>
    </row>
    <row r="538" spans="1:5" ht="15" customHeight="1">
      <c r="A538" s="61" t="s">
        <v>2018</v>
      </c>
      <c r="B538" s="61" t="s">
        <v>2017</v>
      </c>
      <c r="C538" s="55">
        <v>40.24</v>
      </c>
      <c r="D538" s="54"/>
      <c r="E538" s="54"/>
    </row>
    <row r="539" spans="1:5" ht="15" customHeight="1">
      <c r="A539" s="61" t="s">
        <v>2016</v>
      </c>
      <c r="B539" s="61" t="s">
        <v>2015</v>
      </c>
      <c r="C539" s="55">
        <v>25.77</v>
      </c>
      <c r="D539" s="54"/>
      <c r="E539" s="54"/>
    </row>
    <row r="540" spans="1:5" ht="15" customHeight="1">
      <c r="A540" s="61" t="s">
        <v>2014</v>
      </c>
      <c r="B540" s="61" t="s">
        <v>2013</v>
      </c>
      <c r="C540" s="55">
        <v>62.92</v>
      </c>
      <c r="D540" s="54"/>
      <c r="E540" s="54"/>
    </row>
    <row r="541" spans="1:5" ht="15" customHeight="1">
      <c r="A541" s="61" t="s">
        <v>2012</v>
      </c>
      <c r="B541" s="61" t="s">
        <v>2011</v>
      </c>
      <c r="C541" s="55">
        <v>77.12</v>
      </c>
      <c r="D541" s="54"/>
      <c r="E541" s="54"/>
    </row>
    <row r="542" spans="1:5" ht="15" customHeight="1">
      <c r="A542" s="61" t="s">
        <v>2010</v>
      </c>
      <c r="B542" s="61" t="s">
        <v>2009</v>
      </c>
      <c r="C542" s="55">
        <v>86.11</v>
      </c>
      <c r="D542" s="54"/>
      <c r="E542" s="54"/>
    </row>
    <row r="543" spans="1:5" ht="15" customHeight="1">
      <c r="A543" s="61" t="s">
        <v>2008</v>
      </c>
      <c r="B543" s="61" t="s">
        <v>2007</v>
      </c>
      <c r="C543" s="55">
        <v>52.54</v>
      </c>
      <c r="D543" s="54"/>
      <c r="E543" s="54"/>
    </row>
    <row r="544" spans="1:5" ht="15" customHeight="1">
      <c r="A544" s="61" t="s">
        <v>2006</v>
      </c>
      <c r="B544" s="61" t="s">
        <v>2005</v>
      </c>
      <c r="C544" s="55">
        <v>25.06</v>
      </c>
      <c r="D544" s="54"/>
      <c r="E544" s="54"/>
    </row>
    <row r="545" spans="1:5" ht="15" customHeight="1">
      <c r="A545" s="61" t="s">
        <v>2004</v>
      </c>
      <c r="B545" s="61" t="s">
        <v>2003</v>
      </c>
      <c r="C545" s="55">
        <v>56.16</v>
      </c>
      <c r="D545" s="54"/>
      <c r="E545" s="54"/>
    </row>
    <row r="546" spans="1:5" ht="15" customHeight="1">
      <c r="A546" s="61" t="s">
        <v>2002</v>
      </c>
      <c r="B546" s="61" t="s">
        <v>2001</v>
      </c>
      <c r="C546" s="55">
        <v>99.83</v>
      </c>
      <c r="D546" s="54"/>
      <c r="E546" s="54"/>
    </row>
    <row r="547" spans="1:5" ht="15" customHeight="1">
      <c r="A547" s="61" t="s">
        <v>2000</v>
      </c>
      <c r="B547" s="61" t="s">
        <v>1999</v>
      </c>
      <c r="C547" s="55">
        <v>136.55000000000001</v>
      </c>
      <c r="D547" s="54"/>
      <c r="E547" s="54"/>
    </row>
    <row r="548" spans="1:5" ht="15" customHeight="1">
      <c r="A548" s="61" t="s">
        <v>1998</v>
      </c>
      <c r="B548" s="61" t="s">
        <v>1997</v>
      </c>
      <c r="C548" s="55">
        <v>32.04</v>
      </c>
      <c r="D548" s="54"/>
      <c r="E548" s="54"/>
    </row>
    <row r="549" spans="1:5" ht="15" customHeight="1">
      <c r="A549" s="61" t="s">
        <v>1996</v>
      </c>
      <c r="B549" s="61" t="s">
        <v>1995</v>
      </c>
      <c r="C549" s="55">
        <v>703.86</v>
      </c>
      <c r="D549" s="54"/>
      <c r="E549" s="54"/>
    </row>
    <row r="550" spans="1:5" ht="15" customHeight="1">
      <c r="A550" s="61" t="s">
        <v>1994</v>
      </c>
      <c r="B550" s="61" t="s">
        <v>695</v>
      </c>
      <c r="C550" s="55">
        <v>195.05</v>
      </c>
      <c r="D550" s="54"/>
      <c r="E550" s="54"/>
    </row>
    <row r="551" spans="1:5" ht="15" customHeight="1">
      <c r="A551" s="61" t="s">
        <v>1993</v>
      </c>
      <c r="B551" s="61" t="s">
        <v>1992</v>
      </c>
      <c r="C551" s="55">
        <v>28.44</v>
      </c>
      <c r="D551" s="54"/>
      <c r="E551" s="54"/>
    </row>
    <row r="552" spans="1:5" ht="15" customHeight="1">
      <c r="A552" s="61" t="s">
        <v>1991</v>
      </c>
      <c r="B552" s="61" t="s">
        <v>1990</v>
      </c>
      <c r="C552" s="55">
        <v>76.5</v>
      </c>
      <c r="D552" s="54"/>
      <c r="E552" s="54"/>
    </row>
    <row r="553" spans="1:5" ht="15" customHeight="1">
      <c r="A553" s="61" t="s">
        <v>1989</v>
      </c>
      <c r="B553" s="61" t="s">
        <v>1948</v>
      </c>
      <c r="C553" s="55">
        <v>99.84</v>
      </c>
      <c r="D553" s="54"/>
      <c r="E553" s="54"/>
    </row>
    <row r="554" spans="1:5" ht="15" customHeight="1">
      <c r="A554" s="61" t="s">
        <v>1988</v>
      </c>
      <c r="B554" s="61" t="s">
        <v>1987</v>
      </c>
      <c r="C554" s="55">
        <v>41.18</v>
      </c>
      <c r="D554" s="54"/>
      <c r="E554" s="54"/>
    </row>
    <row r="555" spans="1:5" ht="15" customHeight="1">
      <c r="A555" s="61" t="s">
        <v>1986</v>
      </c>
      <c r="B555" s="61" t="s">
        <v>1985</v>
      </c>
      <c r="C555" s="55">
        <v>127.3</v>
      </c>
      <c r="D555" s="54"/>
      <c r="E555" s="54"/>
    </row>
    <row r="556" spans="1:5" ht="15" customHeight="1">
      <c r="A556" s="61" t="s">
        <v>1984</v>
      </c>
      <c r="B556" s="61" t="s">
        <v>1983</v>
      </c>
      <c r="C556" s="55">
        <v>86.87</v>
      </c>
      <c r="D556" s="54"/>
      <c r="E556" s="54"/>
    </row>
    <row r="557" spans="1:5" ht="15" customHeight="1">
      <c r="A557" s="61" t="s">
        <v>1982</v>
      </c>
      <c r="B557" s="61" t="s">
        <v>1981</v>
      </c>
      <c r="C557" s="55">
        <v>64.8</v>
      </c>
      <c r="D557" s="54"/>
      <c r="E557" s="54"/>
    </row>
    <row r="558" spans="1:5" ht="15" customHeight="1">
      <c r="A558" s="61" t="s">
        <v>1980</v>
      </c>
      <c r="B558" s="61" t="s">
        <v>1979</v>
      </c>
      <c r="C558" s="55">
        <v>54.76</v>
      </c>
      <c r="D558" s="54"/>
      <c r="E558" s="54"/>
    </row>
    <row r="559" spans="1:5" ht="15" customHeight="1">
      <c r="A559" s="61" t="s">
        <v>1978</v>
      </c>
      <c r="B559" s="61" t="s">
        <v>1976</v>
      </c>
      <c r="C559" s="55">
        <v>220.9</v>
      </c>
      <c r="D559" s="54"/>
      <c r="E559" s="54"/>
    </row>
    <row r="560" spans="1:5" ht="15" customHeight="1">
      <c r="A560" s="61" t="s">
        <v>1977</v>
      </c>
      <c r="B560" s="61" t="s">
        <v>1976</v>
      </c>
      <c r="C560" s="55">
        <v>206.51</v>
      </c>
      <c r="D560" s="54"/>
      <c r="E560" s="54"/>
    </row>
    <row r="561" spans="1:5" ht="15" customHeight="1">
      <c r="A561" s="61" t="s">
        <v>1975</v>
      </c>
      <c r="B561" s="61" t="s">
        <v>1974</v>
      </c>
      <c r="C561" s="55">
        <v>87.35</v>
      </c>
      <c r="D561" s="54"/>
      <c r="E561" s="54"/>
    </row>
    <row r="562" spans="1:5" ht="15" customHeight="1">
      <c r="A562" s="61" t="s">
        <v>1973</v>
      </c>
      <c r="B562" s="61" t="s">
        <v>1972</v>
      </c>
      <c r="C562" s="55">
        <v>151.03</v>
      </c>
      <c r="D562" s="54"/>
      <c r="E562" s="54"/>
    </row>
    <row r="563" spans="1:5" ht="15" customHeight="1">
      <c r="A563" s="61" t="s">
        <v>1971</v>
      </c>
      <c r="B563" s="61" t="s">
        <v>1970</v>
      </c>
      <c r="C563" s="55">
        <v>100.64</v>
      </c>
      <c r="D563" s="54"/>
      <c r="E563" s="54"/>
    </row>
    <row r="564" spans="1:5" ht="15" customHeight="1">
      <c r="A564" s="61" t="s">
        <v>1969</v>
      </c>
      <c r="B564" s="61" t="s">
        <v>1968</v>
      </c>
      <c r="C564" s="55">
        <v>127.37</v>
      </c>
      <c r="D564" s="54"/>
      <c r="E564" s="54"/>
    </row>
    <row r="565" spans="1:5" ht="15" customHeight="1">
      <c r="A565" s="61" t="s">
        <v>1967</v>
      </c>
      <c r="B565" s="61" t="s">
        <v>1966</v>
      </c>
      <c r="C565" s="55">
        <v>218.46</v>
      </c>
      <c r="D565" s="54"/>
      <c r="E565" s="54"/>
    </row>
    <row r="566" spans="1:5" ht="15" customHeight="1">
      <c r="A566" s="61" t="s">
        <v>1965</v>
      </c>
      <c r="B566" s="61" t="s">
        <v>1964</v>
      </c>
      <c r="C566" s="55">
        <v>53.14</v>
      </c>
      <c r="D566" s="54"/>
      <c r="E566" s="54"/>
    </row>
    <row r="567" spans="1:5" ht="15" customHeight="1">
      <c r="A567" s="61" t="s">
        <v>1963</v>
      </c>
      <c r="B567" s="61" t="s">
        <v>1962</v>
      </c>
      <c r="C567" s="55">
        <v>73.260000000000005</v>
      </c>
      <c r="D567" s="54"/>
      <c r="E567" s="54"/>
    </row>
    <row r="568" spans="1:5" ht="15" customHeight="1">
      <c r="A568" s="61" t="s">
        <v>1961</v>
      </c>
      <c r="B568" s="61" t="s">
        <v>1960</v>
      </c>
      <c r="C568" s="55">
        <v>217.5</v>
      </c>
      <c r="D568" s="54"/>
      <c r="E568" s="54"/>
    </row>
    <row r="569" spans="1:5" ht="15" customHeight="1">
      <c r="A569" s="61" t="s">
        <v>1959</v>
      </c>
      <c r="B569" s="61" t="s">
        <v>1958</v>
      </c>
      <c r="C569" s="55">
        <v>71.95</v>
      </c>
      <c r="D569" s="54"/>
      <c r="E569" s="54"/>
    </row>
    <row r="570" spans="1:5" ht="15" customHeight="1">
      <c r="A570" s="61" t="s">
        <v>1957</v>
      </c>
      <c r="B570" s="61" t="s">
        <v>1956</v>
      </c>
      <c r="C570" s="55">
        <v>77.8</v>
      </c>
      <c r="D570" s="54"/>
      <c r="E570" s="54"/>
    </row>
    <row r="571" spans="1:5" ht="15" customHeight="1">
      <c r="A571" s="61" t="s">
        <v>1955</v>
      </c>
      <c r="B571" s="61" t="s">
        <v>1954</v>
      </c>
      <c r="C571" s="55">
        <v>66.92</v>
      </c>
      <c r="D571" s="54"/>
      <c r="E571" s="54"/>
    </row>
    <row r="572" spans="1:5" ht="15" customHeight="1">
      <c r="A572" s="61" t="s">
        <v>1953</v>
      </c>
      <c r="B572" s="61" t="s">
        <v>1952</v>
      </c>
      <c r="C572" s="55">
        <v>52.58</v>
      </c>
      <c r="D572" s="54"/>
      <c r="E572" s="54"/>
    </row>
    <row r="573" spans="1:5" ht="15" customHeight="1">
      <c r="A573" s="61" t="s">
        <v>1951</v>
      </c>
      <c r="B573" s="61" t="s">
        <v>1950</v>
      </c>
      <c r="C573" s="55">
        <v>54.67</v>
      </c>
      <c r="D573" s="54"/>
      <c r="E573" s="54"/>
    </row>
    <row r="574" spans="1:5" ht="15" customHeight="1">
      <c r="A574" s="61" t="s">
        <v>1949</v>
      </c>
      <c r="B574" s="61" t="s">
        <v>1948</v>
      </c>
      <c r="C574" s="55">
        <v>99.84</v>
      </c>
      <c r="D574" s="54"/>
      <c r="E574" s="54"/>
    </row>
    <row r="575" spans="1:5" ht="15" customHeight="1">
      <c r="A575" s="61" t="s">
        <v>1947</v>
      </c>
      <c r="B575" s="61" t="s">
        <v>1946</v>
      </c>
      <c r="C575" s="55">
        <v>1352.02</v>
      </c>
      <c r="D575" s="54"/>
      <c r="E575" s="54"/>
    </row>
    <row r="576" spans="1:5" ht="15" customHeight="1">
      <c r="A576" s="61" t="s">
        <v>1945</v>
      </c>
      <c r="B576" s="61" t="s">
        <v>1944</v>
      </c>
      <c r="C576" s="55">
        <v>29.51</v>
      </c>
      <c r="D576" s="54"/>
      <c r="E576" s="54"/>
    </row>
    <row r="577" spans="1:5" ht="15" customHeight="1">
      <c r="A577" s="61" t="s">
        <v>1943</v>
      </c>
      <c r="B577" s="61" t="s">
        <v>1942</v>
      </c>
      <c r="C577" s="55">
        <v>94.57</v>
      </c>
      <c r="D577" s="54"/>
      <c r="E577" s="54"/>
    </row>
    <row r="578" spans="1:5" ht="15" customHeight="1">
      <c r="A578" s="61" t="s">
        <v>1941</v>
      </c>
      <c r="B578" s="61" t="s">
        <v>1940</v>
      </c>
      <c r="C578" s="55">
        <v>53.04</v>
      </c>
      <c r="D578" s="54"/>
      <c r="E578" s="54"/>
    </row>
    <row r="579" spans="1:5" ht="15" customHeight="1">
      <c r="A579" s="61" t="s">
        <v>1939</v>
      </c>
      <c r="B579" s="61" t="s">
        <v>1938</v>
      </c>
      <c r="C579" s="55">
        <v>33.08</v>
      </c>
      <c r="D579" s="54"/>
      <c r="E579" s="54"/>
    </row>
    <row r="580" spans="1:5" ht="15" customHeight="1">
      <c r="A580" s="61" t="s">
        <v>1937</v>
      </c>
      <c r="B580" s="61" t="s">
        <v>1936</v>
      </c>
      <c r="C580" s="55">
        <v>93.6</v>
      </c>
      <c r="D580" s="54"/>
      <c r="E580" s="54"/>
    </row>
    <row r="581" spans="1:5" ht="15" customHeight="1">
      <c r="A581" s="61" t="s">
        <v>1935</v>
      </c>
      <c r="B581" s="61" t="s">
        <v>1934</v>
      </c>
      <c r="C581" s="55">
        <v>190.94</v>
      </c>
      <c r="D581" s="54"/>
      <c r="E581" s="54"/>
    </row>
    <row r="582" spans="1:5" ht="15" customHeight="1">
      <c r="A582" s="61" t="s">
        <v>1933</v>
      </c>
      <c r="B582" s="61" t="s">
        <v>1932</v>
      </c>
      <c r="C582" s="55">
        <v>74.88</v>
      </c>
      <c r="D582" s="54"/>
      <c r="E582" s="54"/>
    </row>
    <row r="583" spans="1:5" ht="15" customHeight="1">
      <c r="A583" s="61" t="s">
        <v>1931</v>
      </c>
      <c r="B583" s="61" t="s">
        <v>1930</v>
      </c>
      <c r="C583" s="55">
        <v>83.46</v>
      </c>
      <c r="D583" s="54"/>
      <c r="E583" s="54"/>
    </row>
    <row r="584" spans="1:5" ht="15" customHeight="1">
      <c r="A584" s="61" t="s">
        <v>1929</v>
      </c>
      <c r="B584" s="61" t="s">
        <v>1928</v>
      </c>
      <c r="C584" s="55">
        <v>28.6</v>
      </c>
      <c r="D584" s="54"/>
      <c r="E584" s="54"/>
    </row>
    <row r="585" spans="1:5" ht="15" customHeight="1">
      <c r="A585" s="61" t="s">
        <v>1927</v>
      </c>
      <c r="B585" s="61" t="s">
        <v>1926</v>
      </c>
      <c r="C585" s="55">
        <v>65.06</v>
      </c>
      <c r="D585" s="54"/>
      <c r="E585" s="54"/>
    </row>
    <row r="586" spans="1:5" ht="15" customHeight="1">
      <c r="A586" s="61" t="s">
        <v>1925</v>
      </c>
      <c r="B586" s="61" t="s">
        <v>1924</v>
      </c>
      <c r="C586" s="55">
        <v>18.27</v>
      </c>
      <c r="D586" s="54"/>
      <c r="E586" s="54"/>
    </row>
    <row r="587" spans="1:5" ht="15" customHeight="1">
      <c r="A587" s="61" t="s">
        <v>1923</v>
      </c>
      <c r="B587" s="61" t="s">
        <v>1922</v>
      </c>
      <c r="C587" s="55">
        <v>291.7</v>
      </c>
      <c r="D587" s="54"/>
      <c r="E587" s="54"/>
    </row>
    <row r="588" spans="1:5" ht="15" customHeight="1">
      <c r="A588" s="61" t="s">
        <v>1921</v>
      </c>
      <c r="B588" s="61" t="s">
        <v>1920</v>
      </c>
      <c r="C588" s="55">
        <v>1256.68</v>
      </c>
      <c r="D588" s="54"/>
      <c r="E588" s="54"/>
    </row>
    <row r="589" spans="1:5" ht="15" customHeight="1">
      <c r="A589" s="61" t="s">
        <v>1919</v>
      </c>
      <c r="B589" s="61" t="s">
        <v>1918</v>
      </c>
      <c r="C589" s="55">
        <v>83.21</v>
      </c>
      <c r="D589" s="54"/>
      <c r="E589" s="54"/>
    </row>
    <row r="590" spans="1:5" ht="15" customHeight="1">
      <c r="A590" s="61" t="s">
        <v>1917</v>
      </c>
      <c r="B590" s="61" t="s">
        <v>1916</v>
      </c>
      <c r="C590" s="55">
        <v>1241</v>
      </c>
      <c r="D590" s="54"/>
      <c r="E590" s="54"/>
    </row>
    <row r="591" spans="1:5" ht="15" customHeight="1">
      <c r="A591" s="61" t="s">
        <v>1915</v>
      </c>
      <c r="B591" s="61" t="s">
        <v>1914</v>
      </c>
      <c r="C591" s="55">
        <v>118.56</v>
      </c>
      <c r="D591" s="54"/>
      <c r="E591" s="54"/>
    </row>
    <row r="592" spans="1:5" ht="15" customHeight="1">
      <c r="A592" s="61" t="s">
        <v>1913</v>
      </c>
      <c r="B592" s="61" t="s">
        <v>1912</v>
      </c>
      <c r="C592" s="55">
        <v>108.03</v>
      </c>
      <c r="D592" s="54"/>
      <c r="E592" s="54"/>
    </row>
    <row r="593" spans="1:5" ht="15" customHeight="1">
      <c r="A593" s="61" t="s">
        <v>1911</v>
      </c>
      <c r="B593" s="61" t="s">
        <v>1910</v>
      </c>
      <c r="C593" s="55">
        <v>145.16</v>
      </c>
      <c r="D593" s="54"/>
      <c r="E593" s="54"/>
    </row>
    <row r="594" spans="1:5" ht="15" customHeight="1">
      <c r="A594" s="61" t="s">
        <v>1909</v>
      </c>
      <c r="B594" s="61" t="s">
        <v>1908</v>
      </c>
      <c r="C594" s="55">
        <v>103.28</v>
      </c>
      <c r="D594" s="54"/>
      <c r="E594" s="54"/>
    </row>
    <row r="595" spans="1:5" ht="15" customHeight="1">
      <c r="A595" s="61" t="s">
        <v>1907</v>
      </c>
      <c r="B595" s="61" t="s">
        <v>1906</v>
      </c>
      <c r="C595" s="55">
        <v>66.62</v>
      </c>
      <c r="D595" s="54"/>
      <c r="E595" s="54"/>
    </row>
    <row r="596" spans="1:5" ht="15" customHeight="1">
      <c r="A596" s="61" t="s">
        <v>1905</v>
      </c>
      <c r="B596" s="61" t="s">
        <v>1904</v>
      </c>
      <c r="C596" s="55">
        <v>89.86</v>
      </c>
      <c r="D596" s="54"/>
      <c r="E596" s="54"/>
    </row>
    <row r="597" spans="1:5" ht="15" customHeight="1">
      <c r="A597" s="61" t="s">
        <v>1903</v>
      </c>
      <c r="B597" s="61" t="s">
        <v>1902</v>
      </c>
      <c r="C597" s="55">
        <v>243.84</v>
      </c>
      <c r="D597" s="54"/>
      <c r="E597" s="54"/>
    </row>
    <row r="598" spans="1:5" ht="15" customHeight="1">
      <c r="A598" s="61" t="s">
        <v>1901</v>
      </c>
      <c r="B598" s="61" t="s">
        <v>1900</v>
      </c>
      <c r="C598" s="55">
        <v>33.06</v>
      </c>
      <c r="D598" s="54"/>
      <c r="E598" s="54"/>
    </row>
    <row r="599" spans="1:5" ht="15" customHeight="1">
      <c r="A599" s="61" t="s">
        <v>1899</v>
      </c>
      <c r="B599" s="61" t="s">
        <v>1898</v>
      </c>
      <c r="C599" s="55">
        <v>40.47</v>
      </c>
      <c r="D599" s="54"/>
      <c r="E599" s="54"/>
    </row>
    <row r="600" spans="1:5" ht="15" customHeight="1">
      <c r="A600" s="61" t="s">
        <v>1897</v>
      </c>
      <c r="B600" s="61" t="s">
        <v>1896</v>
      </c>
      <c r="C600" s="55">
        <v>32.58</v>
      </c>
      <c r="D600" s="54"/>
      <c r="E600" s="54"/>
    </row>
    <row r="601" spans="1:5" ht="15" customHeight="1">
      <c r="A601" s="61" t="s">
        <v>1895</v>
      </c>
      <c r="B601" s="61" t="s">
        <v>1894</v>
      </c>
      <c r="C601" s="55">
        <v>40.04</v>
      </c>
      <c r="D601" s="54"/>
      <c r="E601" s="54"/>
    </row>
    <row r="602" spans="1:5" ht="15" customHeight="1">
      <c r="A602" s="61" t="s">
        <v>1893</v>
      </c>
      <c r="B602" s="61" t="s">
        <v>1892</v>
      </c>
      <c r="C602" s="55">
        <v>25.52</v>
      </c>
      <c r="D602" s="54"/>
      <c r="E602" s="54"/>
    </row>
    <row r="603" spans="1:5" ht="15" customHeight="1">
      <c r="A603" s="61" t="s">
        <v>1891</v>
      </c>
      <c r="B603" s="61" t="s">
        <v>1890</v>
      </c>
      <c r="C603" s="55">
        <v>56.78</v>
      </c>
      <c r="D603" s="54"/>
      <c r="E603" s="54"/>
    </row>
    <row r="604" spans="1:5" ht="15" customHeight="1">
      <c r="A604" s="61" t="s">
        <v>1889</v>
      </c>
      <c r="B604" s="61" t="s">
        <v>1888</v>
      </c>
      <c r="C604" s="55">
        <v>61.76</v>
      </c>
      <c r="D604" s="54"/>
      <c r="E604" s="54"/>
    </row>
    <row r="605" spans="1:5" ht="15" customHeight="1">
      <c r="A605" s="61" t="s">
        <v>1887</v>
      </c>
      <c r="B605" s="61" t="s">
        <v>1886</v>
      </c>
      <c r="C605" s="55">
        <v>24.55</v>
      </c>
      <c r="D605" s="54"/>
      <c r="E605" s="54"/>
    </row>
    <row r="606" spans="1:5" ht="15" customHeight="1">
      <c r="A606" s="61" t="s">
        <v>1885</v>
      </c>
      <c r="B606" s="61" t="s">
        <v>1884</v>
      </c>
      <c r="C606" s="55">
        <v>27.28</v>
      </c>
      <c r="D606" s="54"/>
      <c r="E606" s="54"/>
    </row>
    <row r="607" spans="1:5" ht="15" customHeight="1">
      <c r="A607" s="61" t="s">
        <v>1883</v>
      </c>
      <c r="B607" s="61" t="s">
        <v>1882</v>
      </c>
      <c r="C607" s="55">
        <v>21</v>
      </c>
      <c r="D607" s="54"/>
      <c r="E607" s="54"/>
    </row>
    <row r="608" spans="1:5" ht="15" customHeight="1">
      <c r="A608" s="61" t="s">
        <v>1881</v>
      </c>
      <c r="B608" s="61" t="s">
        <v>1880</v>
      </c>
      <c r="C608" s="55">
        <v>21.6</v>
      </c>
      <c r="D608" s="54"/>
      <c r="E608" s="54"/>
    </row>
    <row r="609" spans="1:5" ht="15" customHeight="1">
      <c r="A609" s="61" t="s">
        <v>1879</v>
      </c>
      <c r="B609" s="61" t="s">
        <v>1878</v>
      </c>
      <c r="C609" s="55">
        <v>127.85</v>
      </c>
      <c r="D609" s="54"/>
      <c r="E609" s="54"/>
    </row>
    <row r="610" spans="1:5" ht="15" customHeight="1">
      <c r="A610" s="61" t="s">
        <v>1877</v>
      </c>
      <c r="B610" s="61" t="s">
        <v>1876</v>
      </c>
      <c r="C610" s="55">
        <v>1535.36</v>
      </c>
      <c r="D610" s="54"/>
      <c r="E610" s="54"/>
    </row>
    <row r="611" spans="1:5" ht="15" customHeight="1">
      <c r="A611" s="61" t="s">
        <v>1875</v>
      </c>
      <c r="B611" s="61" t="s">
        <v>1874</v>
      </c>
      <c r="C611" s="55">
        <v>1859.86</v>
      </c>
      <c r="D611" s="54"/>
      <c r="E611" s="54"/>
    </row>
    <row r="612" spans="1:5" ht="15" customHeight="1">
      <c r="A612" s="61" t="s">
        <v>1873</v>
      </c>
      <c r="B612" s="61" t="s">
        <v>1872</v>
      </c>
      <c r="C612" s="55">
        <v>2115.66</v>
      </c>
      <c r="D612" s="54"/>
      <c r="E612" s="54"/>
    </row>
    <row r="613" spans="1:5" ht="15" customHeight="1">
      <c r="A613" s="61" t="s">
        <v>1871</v>
      </c>
      <c r="B613" s="61" t="s">
        <v>1870</v>
      </c>
      <c r="C613" s="55">
        <v>168.47</v>
      </c>
      <c r="D613" s="54"/>
      <c r="E613" s="54"/>
    </row>
    <row r="614" spans="1:5" ht="15" customHeight="1">
      <c r="A614" s="61" t="s">
        <v>1869</v>
      </c>
      <c r="B614" s="61" t="s">
        <v>1868</v>
      </c>
      <c r="C614" s="55">
        <v>171.82</v>
      </c>
      <c r="D614" s="54"/>
      <c r="E614" s="54"/>
    </row>
    <row r="615" spans="1:5" ht="15" customHeight="1">
      <c r="A615" s="61" t="s">
        <v>1867</v>
      </c>
      <c r="B615" s="61" t="s">
        <v>1866</v>
      </c>
      <c r="C615" s="55">
        <v>277.02</v>
      </c>
      <c r="D615" s="54"/>
      <c r="E615" s="54"/>
    </row>
    <row r="616" spans="1:5" ht="15" customHeight="1">
      <c r="A616" s="61" t="s">
        <v>1865</v>
      </c>
      <c r="B616" s="61" t="s">
        <v>1864</v>
      </c>
      <c r="C616" s="55">
        <v>63.76</v>
      </c>
      <c r="D616" s="54"/>
      <c r="E616" s="54"/>
    </row>
    <row r="617" spans="1:5" ht="15" customHeight="1">
      <c r="A617" s="61" t="s">
        <v>1863</v>
      </c>
      <c r="B617" s="61" t="s">
        <v>1862</v>
      </c>
      <c r="C617" s="55">
        <v>55.1</v>
      </c>
      <c r="D617" s="54"/>
      <c r="E617" s="54"/>
    </row>
    <row r="618" spans="1:5" ht="15" customHeight="1">
      <c r="A618" s="61" t="s">
        <v>1861</v>
      </c>
      <c r="B618" s="61" t="s">
        <v>1860</v>
      </c>
      <c r="C618" s="55">
        <v>186.01</v>
      </c>
      <c r="D618" s="54"/>
      <c r="E618" s="54"/>
    </row>
    <row r="619" spans="1:5" ht="15" customHeight="1">
      <c r="A619" s="61" t="s">
        <v>1859</v>
      </c>
      <c r="B619" s="61" t="s">
        <v>1858</v>
      </c>
      <c r="C619" s="55">
        <v>189.11</v>
      </c>
      <c r="D619" s="54"/>
      <c r="E619" s="54"/>
    </row>
    <row r="620" spans="1:5" ht="15" customHeight="1">
      <c r="A620" s="61" t="s">
        <v>1857</v>
      </c>
      <c r="B620" s="61" t="s">
        <v>1856</v>
      </c>
      <c r="C620" s="55">
        <v>273.58999999999997</v>
      </c>
      <c r="D620" s="54"/>
      <c r="E620" s="54"/>
    </row>
    <row r="621" spans="1:5" ht="15" customHeight="1">
      <c r="A621" s="61" t="s">
        <v>1855</v>
      </c>
      <c r="B621" s="61" t="s">
        <v>1854</v>
      </c>
      <c r="C621" s="55">
        <v>91.76</v>
      </c>
      <c r="D621" s="54"/>
      <c r="E621" s="54"/>
    </row>
    <row r="622" spans="1:5" ht="15" customHeight="1">
      <c r="A622" s="61" t="s">
        <v>1853</v>
      </c>
      <c r="B622" s="61" t="s">
        <v>1852</v>
      </c>
      <c r="C622" s="55">
        <v>184.88</v>
      </c>
      <c r="D622" s="54"/>
      <c r="E622" s="54"/>
    </row>
    <row r="623" spans="1:5" ht="15" customHeight="1">
      <c r="A623" s="61" t="s">
        <v>1851</v>
      </c>
      <c r="B623" s="61" t="s">
        <v>1850</v>
      </c>
      <c r="C623" s="55">
        <v>99.83</v>
      </c>
      <c r="D623" s="54"/>
      <c r="E623" s="54"/>
    </row>
    <row r="624" spans="1:5" ht="15" customHeight="1">
      <c r="A624" s="61" t="s">
        <v>1849</v>
      </c>
      <c r="B624" s="61" t="s">
        <v>1848</v>
      </c>
      <c r="C624" s="55">
        <v>109.24</v>
      </c>
      <c r="D624" s="54"/>
      <c r="E624" s="54"/>
    </row>
    <row r="625" spans="1:5" ht="15" customHeight="1">
      <c r="A625" s="61" t="s">
        <v>1847</v>
      </c>
      <c r="B625" s="61" t="s">
        <v>1846</v>
      </c>
      <c r="C625" s="55">
        <v>131.04</v>
      </c>
      <c r="D625" s="54"/>
      <c r="E625" s="54"/>
    </row>
    <row r="626" spans="1:5" ht="15" customHeight="1">
      <c r="A626" s="61" t="s">
        <v>1845</v>
      </c>
      <c r="B626" s="61" t="s">
        <v>1843</v>
      </c>
      <c r="C626" s="55">
        <v>225.18</v>
      </c>
      <c r="D626" s="54"/>
      <c r="E626" s="54"/>
    </row>
    <row r="627" spans="1:5" ht="15" customHeight="1">
      <c r="A627" s="61" t="s">
        <v>1844</v>
      </c>
      <c r="B627" s="61" t="s">
        <v>1843</v>
      </c>
      <c r="C627" s="55">
        <v>225.18</v>
      </c>
      <c r="D627" s="54"/>
      <c r="E627" s="54"/>
    </row>
    <row r="628" spans="1:5" ht="15" customHeight="1">
      <c r="A628" s="61" t="s">
        <v>1842</v>
      </c>
      <c r="B628" s="61" t="s">
        <v>1841</v>
      </c>
      <c r="C628" s="55">
        <v>58.66</v>
      </c>
      <c r="D628" s="54"/>
      <c r="E628" s="54"/>
    </row>
    <row r="629" spans="1:5" ht="15" customHeight="1">
      <c r="A629" s="61" t="s">
        <v>1840</v>
      </c>
      <c r="B629" s="61" t="s">
        <v>1839</v>
      </c>
      <c r="C629" s="55">
        <v>90.04</v>
      </c>
      <c r="D629" s="54"/>
      <c r="E629" s="54"/>
    </row>
    <row r="630" spans="1:5" ht="15" customHeight="1">
      <c r="A630" s="61" t="s">
        <v>1838</v>
      </c>
      <c r="B630" s="61" t="s">
        <v>1837</v>
      </c>
      <c r="C630" s="55">
        <v>476.16</v>
      </c>
      <c r="D630" s="54"/>
      <c r="E630" s="54"/>
    </row>
    <row r="631" spans="1:5" ht="15" customHeight="1">
      <c r="A631" s="61" t="s">
        <v>1836</v>
      </c>
      <c r="B631" s="61" t="s">
        <v>1835</v>
      </c>
      <c r="C631" s="55">
        <v>84.71</v>
      </c>
      <c r="D631" s="54"/>
      <c r="E631" s="54"/>
    </row>
    <row r="632" spans="1:5" ht="15" customHeight="1">
      <c r="A632" s="61" t="s">
        <v>1834</v>
      </c>
      <c r="B632" s="61" t="s">
        <v>1833</v>
      </c>
      <c r="C632" s="55">
        <v>226.71</v>
      </c>
      <c r="D632" s="54"/>
      <c r="E632" s="54"/>
    </row>
    <row r="633" spans="1:5" ht="15" customHeight="1">
      <c r="A633" s="61" t="s">
        <v>1832</v>
      </c>
      <c r="B633" s="61" t="s">
        <v>1831</v>
      </c>
      <c r="C633" s="55">
        <v>22.78</v>
      </c>
      <c r="D633" s="54"/>
      <c r="E633" s="54"/>
    </row>
    <row r="634" spans="1:5" ht="15" customHeight="1">
      <c r="A634" s="61" t="s">
        <v>1830</v>
      </c>
      <c r="B634" s="61" t="s">
        <v>1829</v>
      </c>
      <c r="C634" s="55">
        <v>8</v>
      </c>
      <c r="D634" s="54"/>
      <c r="E634" s="54"/>
    </row>
    <row r="635" spans="1:5" ht="15" customHeight="1">
      <c r="A635" s="61" t="s">
        <v>1828</v>
      </c>
      <c r="B635" s="61" t="s">
        <v>1827</v>
      </c>
      <c r="C635" s="55">
        <v>48.43</v>
      </c>
      <c r="D635" s="54"/>
      <c r="E635" s="54"/>
    </row>
    <row r="636" spans="1:5" ht="15" customHeight="1">
      <c r="A636" s="61" t="s">
        <v>1826</v>
      </c>
      <c r="B636" s="61" t="s">
        <v>1825</v>
      </c>
      <c r="C636" s="55">
        <v>79.72</v>
      </c>
      <c r="D636" s="54"/>
      <c r="E636" s="54"/>
    </row>
    <row r="637" spans="1:5" ht="15" customHeight="1">
      <c r="A637" s="61" t="s">
        <v>1824</v>
      </c>
      <c r="B637" s="61" t="s">
        <v>1823</v>
      </c>
      <c r="C637" s="55">
        <v>58.42</v>
      </c>
      <c r="D637" s="54"/>
      <c r="E637" s="54"/>
    </row>
    <row r="638" spans="1:5" ht="15" customHeight="1">
      <c r="A638" s="61" t="s">
        <v>1822</v>
      </c>
      <c r="B638" s="61" t="s">
        <v>1821</v>
      </c>
      <c r="C638" s="55">
        <v>36.29</v>
      </c>
      <c r="D638" s="54"/>
      <c r="E638" s="54"/>
    </row>
    <row r="639" spans="1:5" ht="15" customHeight="1">
      <c r="A639" s="61" t="s">
        <v>1820</v>
      </c>
      <c r="B639" s="61" t="s">
        <v>1819</v>
      </c>
      <c r="C639" s="55">
        <v>33.78</v>
      </c>
      <c r="D639" s="54"/>
      <c r="E639" s="54"/>
    </row>
    <row r="640" spans="1:5" ht="15" customHeight="1">
      <c r="A640" s="61" t="s">
        <v>1818</v>
      </c>
      <c r="B640" s="61" t="s">
        <v>1817</v>
      </c>
      <c r="C640" s="55">
        <v>67.78</v>
      </c>
      <c r="D640" s="54"/>
      <c r="E640" s="54"/>
    </row>
    <row r="641" spans="1:5" ht="15" customHeight="1">
      <c r="A641" s="61" t="s">
        <v>1816</v>
      </c>
      <c r="B641" s="61" t="s">
        <v>1815</v>
      </c>
      <c r="C641" s="55">
        <v>206.14</v>
      </c>
      <c r="D641" s="54"/>
      <c r="E641" s="54"/>
    </row>
    <row r="642" spans="1:5" ht="15" customHeight="1">
      <c r="A642" s="61" t="s">
        <v>1814</v>
      </c>
      <c r="B642" s="61" t="s">
        <v>1813</v>
      </c>
      <c r="C642" s="55">
        <v>72.290000000000006</v>
      </c>
      <c r="D642" s="54"/>
      <c r="E642" s="54"/>
    </row>
    <row r="643" spans="1:5" ht="15" customHeight="1">
      <c r="A643" s="61" t="s">
        <v>1812</v>
      </c>
      <c r="B643" s="61" t="s">
        <v>1811</v>
      </c>
      <c r="C643" s="55">
        <v>152.56</v>
      </c>
      <c r="D643" s="54"/>
      <c r="E643" s="54"/>
    </row>
    <row r="644" spans="1:5" ht="15" customHeight="1">
      <c r="A644" s="61" t="s">
        <v>1810</v>
      </c>
      <c r="B644" s="61" t="s">
        <v>1808</v>
      </c>
      <c r="C644" s="55">
        <v>196.97</v>
      </c>
      <c r="D644" s="54"/>
      <c r="E644" s="54"/>
    </row>
    <row r="645" spans="1:5" ht="15" customHeight="1">
      <c r="A645" s="61" t="s">
        <v>1809</v>
      </c>
      <c r="B645" s="61" t="s">
        <v>1808</v>
      </c>
      <c r="C645" s="55">
        <v>262.07</v>
      </c>
      <c r="D645" s="54"/>
      <c r="E645" s="54"/>
    </row>
    <row r="646" spans="1:5" ht="15" customHeight="1">
      <c r="A646" s="61" t="s">
        <v>1807</v>
      </c>
      <c r="B646" s="61" t="s">
        <v>910</v>
      </c>
      <c r="C646" s="55">
        <v>186.11</v>
      </c>
      <c r="D646" s="54"/>
      <c r="E646" s="54"/>
    </row>
    <row r="647" spans="1:5" ht="15" customHeight="1">
      <c r="A647" s="61" t="s">
        <v>1806</v>
      </c>
      <c r="B647" s="61" t="s">
        <v>1805</v>
      </c>
      <c r="C647" s="55">
        <v>228.27</v>
      </c>
      <c r="D647" s="54"/>
      <c r="E647" s="54"/>
    </row>
    <row r="648" spans="1:5" ht="15" customHeight="1">
      <c r="A648" s="61" t="s">
        <v>1804</v>
      </c>
      <c r="B648" s="61" t="s">
        <v>1803</v>
      </c>
      <c r="C648" s="55">
        <v>34.520000000000003</v>
      </c>
      <c r="D648" s="54"/>
      <c r="E648" s="54"/>
    </row>
    <row r="649" spans="1:5" ht="15" customHeight="1">
      <c r="A649" s="61" t="s">
        <v>1802</v>
      </c>
      <c r="B649" s="61" t="s">
        <v>1801</v>
      </c>
      <c r="C649" s="55">
        <v>38.200000000000003</v>
      </c>
      <c r="D649" s="54"/>
      <c r="E649" s="54"/>
    </row>
    <row r="650" spans="1:5" ht="15" customHeight="1">
      <c r="A650" s="61" t="s">
        <v>1800</v>
      </c>
      <c r="B650" s="61" t="s">
        <v>1799</v>
      </c>
      <c r="C650" s="55">
        <v>38.200000000000003</v>
      </c>
      <c r="D650" s="54"/>
      <c r="E650" s="54"/>
    </row>
    <row r="651" spans="1:5" ht="15" customHeight="1">
      <c r="A651" s="61" t="s">
        <v>1798</v>
      </c>
      <c r="B651" s="61" t="s">
        <v>1797</v>
      </c>
      <c r="C651" s="55">
        <v>34.520000000000003</v>
      </c>
      <c r="D651" s="54"/>
      <c r="E651" s="54"/>
    </row>
    <row r="652" spans="1:5" ht="15" customHeight="1">
      <c r="A652" s="61" t="s">
        <v>1796</v>
      </c>
      <c r="B652" s="61" t="s">
        <v>1795</v>
      </c>
      <c r="C652" s="55">
        <v>0</v>
      </c>
      <c r="D652" s="54"/>
      <c r="E652" s="54"/>
    </row>
    <row r="653" spans="1:5" ht="15" customHeight="1">
      <c r="A653" s="61" t="s">
        <v>1794</v>
      </c>
      <c r="B653" s="61" t="s">
        <v>1793</v>
      </c>
      <c r="C653" s="55">
        <v>0</v>
      </c>
      <c r="D653" s="54"/>
      <c r="E653" s="54"/>
    </row>
    <row r="654" spans="1:5" ht="15" customHeight="1">
      <c r="A654" s="61" t="s">
        <v>1792</v>
      </c>
      <c r="B654" s="61" t="s">
        <v>1791</v>
      </c>
      <c r="C654" s="55">
        <v>0</v>
      </c>
      <c r="D654" s="54"/>
      <c r="E654" s="54"/>
    </row>
    <row r="655" spans="1:5" ht="15" customHeight="1">
      <c r="A655" s="61" t="s">
        <v>1790</v>
      </c>
      <c r="B655" s="61" t="s">
        <v>1789</v>
      </c>
      <c r="C655" s="55">
        <v>162.34</v>
      </c>
      <c r="D655" s="54"/>
      <c r="E655" s="54"/>
    </row>
    <row r="656" spans="1:5" ht="15" customHeight="1">
      <c r="A656" s="61" t="s">
        <v>1788</v>
      </c>
      <c r="B656" s="61" t="s">
        <v>1787</v>
      </c>
      <c r="C656" s="55">
        <v>4.1399999999999997</v>
      </c>
      <c r="D656" s="54"/>
      <c r="E656" s="54"/>
    </row>
    <row r="657" spans="1:5" ht="15" customHeight="1">
      <c r="A657" s="61" t="s">
        <v>1786</v>
      </c>
      <c r="B657" s="61" t="s">
        <v>1785</v>
      </c>
      <c r="C657" s="55">
        <v>37.14</v>
      </c>
      <c r="D657" s="54"/>
      <c r="E657" s="54"/>
    </row>
    <row r="658" spans="1:5" ht="15" customHeight="1">
      <c r="A658" s="61" t="s">
        <v>1784</v>
      </c>
      <c r="B658" s="61" t="s">
        <v>1783</v>
      </c>
      <c r="C658" s="55">
        <v>0.54</v>
      </c>
      <c r="D658" s="54"/>
      <c r="E658" s="54"/>
    </row>
    <row r="659" spans="1:5" ht="15" customHeight="1">
      <c r="A659" s="61" t="s">
        <v>1782</v>
      </c>
      <c r="B659" s="61" t="s">
        <v>1781</v>
      </c>
      <c r="C659" s="55">
        <v>11.26</v>
      </c>
      <c r="D659" s="54"/>
      <c r="E659" s="54"/>
    </row>
    <row r="660" spans="1:5" ht="15" customHeight="1">
      <c r="A660" s="61" t="s">
        <v>1780</v>
      </c>
      <c r="B660" s="61" t="s">
        <v>1779</v>
      </c>
      <c r="C660" s="55">
        <v>24.84</v>
      </c>
      <c r="D660" s="54"/>
      <c r="E660" s="54"/>
    </row>
    <row r="661" spans="1:5" ht="15" customHeight="1">
      <c r="A661" s="61" t="s">
        <v>1778</v>
      </c>
      <c r="B661" s="61" t="s">
        <v>1777</v>
      </c>
      <c r="C661" s="55">
        <v>37.979999999999997</v>
      </c>
      <c r="D661" s="54"/>
      <c r="E661" s="54"/>
    </row>
    <row r="662" spans="1:5" ht="15" customHeight="1">
      <c r="A662" s="61" t="s">
        <v>1776</v>
      </c>
      <c r="B662" s="61" t="s">
        <v>1775</v>
      </c>
      <c r="C662" s="55">
        <v>0</v>
      </c>
      <c r="D662" s="54"/>
      <c r="E662" s="54"/>
    </row>
    <row r="663" spans="1:5" ht="15" customHeight="1">
      <c r="A663" s="61" t="s">
        <v>1774</v>
      </c>
      <c r="B663" s="61" t="s">
        <v>1773</v>
      </c>
      <c r="C663" s="55">
        <v>525.61</v>
      </c>
      <c r="D663" s="54"/>
      <c r="E663" s="54"/>
    </row>
    <row r="664" spans="1:5" ht="15" customHeight="1">
      <c r="A664" s="61" t="s">
        <v>1772</v>
      </c>
      <c r="B664" s="61" t="s">
        <v>1771</v>
      </c>
      <c r="C664" s="55">
        <v>80.14</v>
      </c>
      <c r="D664" s="54"/>
      <c r="E664" s="54"/>
    </row>
    <row r="665" spans="1:5" ht="15" customHeight="1">
      <c r="A665" s="61" t="s">
        <v>1770</v>
      </c>
      <c r="B665" s="61" t="s">
        <v>1769</v>
      </c>
      <c r="C665" s="55">
        <v>33.08</v>
      </c>
      <c r="D665" s="54"/>
      <c r="E665" s="54"/>
    </row>
    <row r="666" spans="1:5" ht="15" customHeight="1">
      <c r="A666" s="61" t="s">
        <v>1768</v>
      </c>
      <c r="B666" s="61" t="s">
        <v>1767</v>
      </c>
      <c r="C666" s="55">
        <v>0</v>
      </c>
      <c r="D666" s="54"/>
      <c r="E666" s="54"/>
    </row>
    <row r="667" spans="1:5" ht="15" customHeight="1">
      <c r="A667" s="61" t="s">
        <v>1766</v>
      </c>
      <c r="B667" s="61" t="s">
        <v>1765</v>
      </c>
      <c r="C667" s="55">
        <v>0</v>
      </c>
      <c r="D667" s="54"/>
      <c r="E667" s="54"/>
    </row>
    <row r="668" spans="1:5" ht="15" customHeight="1">
      <c r="A668" s="61" t="s">
        <v>1764</v>
      </c>
      <c r="B668" s="61" t="s">
        <v>1763</v>
      </c>
      <c r="C668" s="55">
        <v>69.64</v>
      </c>
      <c r="D668" s="54"/>
      <c r="E668" s="54"/>
    </row>
    <row r="669" spans="1:5" ht="15" customHeight="1">
      <c r="A669" s="61" t="s">
        <v>1762</v>
      </c>
      <c r="B669" s="61" t="s">
        <v>1761</v>
      </c>
      <c r="C669" s="55">
        <v>83</v>
      </c>
      <c r="D669" s="54"/>
      <c r="E669" s="54"/>
    </row>
    <row r="670" spans="1:5" ht="15" customHeight="1">
      <c r="A670" s="61" t="s">
        <v>1760</v>
      </c>
      <c r="B670" s="61" t="s">
        <v>1759</v>
      </c>
      <c r="C670" s="55">
        <v>225.32</v>
      </c>
      <c r="D670" s="54"/>
      <c r="E670" s="54"/>
    </row>
    <row r="671" spans="1:5" ht="15" customHeight="1">
      <c r="A671" s="61" t="s">
        <v>1758</v>
      </c>
      <c r="B671" s="61" t="s">
        <v>1757</v>
      </c>
      <c r="C671" s="55">
        <v>25.98</v>
      </c>
      <c r="D671" s="54"/>
      <c r="E671" s="54"/>
    </row>
    <row r="672" spans="1:5" ht="15" customHeight="1">
      <c r="A672" s="61" t="s">
        <v>1756</v>
      </c>
      <c r="B672" s="61" t="s">
        <v>1755</v>
      </c>
      <c r="C672" s="55">
        <v>1043.95</v>
      </c>
      <c r="D672" s="54"/>
      <c r="E672" s="54"/>
    </row>
    <row r="673" spans="1:5" ht="15" customHeight="1">
      <c r="A673" s="61" t="s">
        <v>1754</v>
      </c>
      <c r="B673" s="61" t="s">
        <v>1753</v>
      </c>
      <c r="C673" s="55">
        <v>39.94</v>
      </c>
      <c r="D673" s="54"/>
      <c r="E673" s="54"/>
    </row>
    <row r="674" spans="1:5" ht="15" customHeight="1">
      <c r="A674" s="61" t="s">
        <v>1752</v>
      </c>
      <c r="B674" s="61" t="s">
        <v>1751</v>
      </c>
      <c r="C674" s="55">
        <v>20.6</v>
      </c>
      <c r="D674" s="54"/>
      <c r="E674" s="54"/>
    </row>
    <row r="675" spans="1:5" ht="15" customHeight="1">
      <c r="A675" s="61" t="s">
        <v>1750</v>
      </c>
      <c r="B675" s="61" t="s">
        <v>1749</v>
      </c>
      <c r="C675" s="55">
        <v>25.44</v>
      </c>
      <c r="D675" s="54"/>
      <c r="E675" s="54"/>
    </row>
    <row r="676" spans="1:5" ht="15" customHeight="1">
      <c r="A676" s="61" t="s">
        <v>1748</v>
      </c>
      <c r="B676" s="61" t="s">
        <v>1747</v>
      </c>
      <c r="C676" s="55">
        <v>16.86</v>
      </c>
      <c r="D676" s="54"/>
      <c r="E676" s="54"/>
    </row>
    <row r="677" spans="1:5" ht="15" customHeight="1">
      <c r="A677" s="61" t="s">
        <v>1746</v>
      </c>
      <c r="B677" s="61" t="s">
        <v>1745</v>
      </c>
      <c r="C677" s="55">
        <v>57.28</v>
      </c>
      <c r="D677" s="54"/>
      <c r="E677" s="54"/>
    </row>
    <row r="678" spans="1:5" ht="15" customHeight="1">
      <c r="A678" s="61" t="s">
        <v>1744</v>
      </c>
      <c r="B678" s="61" t="s">
        <v>1743</v>
      </c>
      <c r="C678" s="55">
        <v>33.04</v>
      </c>
      <c r="D678" s="54"/>
      <c r="E678" s="54"/>
    </row>
    <row r="679" spans="1:5" ht="15" customHeight="1">
      <c r="A679" s="61" t="s">
        <v>1742</v>
      </c>
      <c r="B679" s="61" t="s">
        <v>1741</v>
      </c>
      <c r="C679" s="55">
        <v>71.72</v>
      </c>
      <c r="D679" s="54"/>
      <c r="E679" s="54"/>
    </row>
    <row r="680" spans="1:5" ht="15" customHeight="1">
      <c r="A680" s="61" t="s">
        <v>1740</v>
      </c>
      <c r="B680" s="61" t="s">
        <v>1739</v>
      </c>
      <c r="C680" s="55">
        <v>6.75</v>
      </c>
      <c r="D680" s="54"/>
      <c r="E680" s="54"/>
    </row>
    <row r="681" spans="1:5" ht="15" customHeight="1">
      <c r="A681" s="61" t="s">
        <v>1738</v>
      </c>
      <c r="B681" s="61" t="s">
        <v>1737</v>
      </c>
      <c r="C681" s="55">
        <v>3.97</v>
      </c>
      <c r="D681" s="54"/>
      <c r="E681" s="54"/>
    </row>
    <row r="682" spans="1:5" ht="15" customHeight="1">
      <c r="A682" s="61" t="s">
        <v>1736</v>
      </c>
      <c r="B682" s="61" t="s">
        <v>1735</v>
      </c>
      <c r="C682" s="55">
        <v>715.32</v>
      </c>
      <c r="D682" s="54"/>
      <c r="E682" s="54"/>
    </row>
    <row r="683" spans="1:5" ht="15" customHeight="1">
      <c r="A683" s="61" t="s">
        <v>1734</v>
      </c>
      <c r="B683" s="61" t="s">
        <v>1733</v>
      </c>
      <c r="C683" s="55">
        <v>715.32</v>
      </c>
      <c r="D683" s="54"/>
      <c r="E683" s="54"/>
    </row>
    <row r="684" spans="1:5" ht="15" customHeight="1">
      <c r="A684" s="61" t="s">
        <v>1732</v>
      </c>
      <c r="B684" s="61" t="s">
        <v>1731</v>
      </c>
      <c r="C684" s="55">
        <v>340.97</v>
      </c>
      <c r="D684" s="54"/>
      <c r="E684" s="54"/>
    </row>
    <row r="685" spans="1:5" ht="15" customHeight="1">
      <c r="A685" s="61" t="s">
        <v>1730</v>
      </c>
      <c r="B685" s="61" t="s">
        <v>1729</v>
      </c>
      <c r="C685" s="55">
        <v>234.25</v>
      </c>
      <c r="D685" s="54"/>
      <c r="E685" s="54"/>
    </row>
    <row r="686" spans="1:5" ht="15" customHeight="1">
      <c r="A686" s="61" t="s">
        <v>1728</v>
      </c>
      <c r="B686" s="61" t="s">
        <v>1727</v>
      </c>
      <c r="C686" s="55">
        <v>989.52</v>
      </c>
      <c r="D686" s="54"/>
      <c r="E686" s="54"/>
    </row>
    <row r="687" spans="1:5" ht="15" customHeight="1">
      <c r="A687" s="61" t="s">
        <v>1726</v>
      </c>
      <c r="B687" s="61" t="s">
        <v>1725</v>
      </c>
      <c r="C687" s="55">
        <v>195</v>
      </c>
      <c r="D687" s="54"/>
      <c r="E687" s="54"/>
    </row>
    <row r="688" spans="1:5" ht="15" customHeight="1">
      <c r="A688" s="61" t="s">
        <v>1724</v>
      </c>
      <c r="B688" s="61" t="s">
        <v>1723</v>
      </c>
      <c r="C688" s="55">
        <v>78.37</v>
      </c>
      <c r="D688" s="54"/>
      <c r="E688" s="54"/>
    </row>
    <row r="689" spans="1:5" ht="15" customHeight="1">
      <c r="A689" s="61" t="s">
        <v>1722</v>
      </c>
      <c r="B689" s="61" t="s">
        <v>1721</v>
      </c>
      <c r="C689" s="55">
        <v>1425.69</v>
      </c>
      <c r="D689" s="54"/>
      <c r="E689" s="54"/>
    </row>
    <row r="690" spans="1:5" ht="15" customHeight="1">
      <c r="A690" s="61" t="s">
        <v>1720</v>
      </c>
      <c r="B690" s="61" t="s">
        <v>1719</v>
      </c>
      <c r="C690" s="55">
        <v>103.48</v>
      </c>
      <c r="D690" s="54"/>
      <c r="E690" s="54"/>
    </row>
    <row r="691" spans="1:5" ht="15" customHeight="1">
      <c r="A691" s="61" t="s">
        <v>1718</v>
      </c>
      <c r="B691" s="61" t="s">
        <v>1717</v>
      </c>
      <c r="C691" s="55">
        <v>523.79999999999995</v>
      </c>
      <c r="D691" s="54"/>
      <c r="E691" s="54"/>
    </row>
    <row r="692" spans="1:5" ht="15" customHeight="1">
      <c r="A692" s="61" t="s">
        <v>1716</v>
      </c>
      <c r="B692" s="61" t="s">
        <v>1715</v>
      </c>
      <c r="C692" s="55">
        <v>592.08000000000004</v>
      </c>
      <c r="D692" s="54"/>
      <c r="E692" s="54"/>
    </row>
    <row r="693" spans="1:5" ht="15" customHeight="1">
      <c r="A693" s="61" t="s">
        <v>1714</v>
      </c>
      <c r="B693" s="61" t="s">
        <v>1713</v>
      </c>
      <c r="C693" s="55">
        <v>37.75</v>
      </c>
      <c r="D693" s="54"/>
      <c r="E693" s="54"/>
    </row>
    <row r="694" spans="1:5" ht="15" customHeight="1">
      <c r="A694" s="61" t="s">
        <v>1712</v>
      </c>
      <c r="B694" s="61" t="s">
        <v>1711</v>
      </c>
      <c r="C694" s="55">
        <v>230.56</v>
      </c>
      <c r="D694" s="54"/>
      <c r="E694" s="54"/>
    </row>
    <row r="695" spans="1:5" ht="15" customHeight="1">
      <c r="A695" s="61" t="s">
        <v>1710</v>
      </c>
      <c r="B695" s="61" t="s">
        <v>1709</v>
      </c>
      <c r="C695" s="55">
        <v>17.05</v>
      </c>
      <c r="D695" s="54"/>
      <c r="E695" s="54"/>
    </row>
    <row r="696" spans="1:5" ht="15" customHeight="1">
      <c r="A696" s="61" t="s">
        <v>1708</v>
      </c>
      <c r="B696" s="61" t="s">
        <v>1707</v>
      </c>
      <c r="C696" s="55">
        <v>9.85</v>
      </c>
      <c r="D696" s="54"/>
      <c r="E696" s="54"/>
    </row>
    <row r="697" spans="1:5" ht="15" customHeight="1">
      <c r="A697" s="61" t="s">
        <v>1706</v>
      </c>
      <c r="B697" s="61" t="s">
        <v>1705</v>
      </c>
      <c r="C697" s="55">
        <v>56.03</v>
      </c>
      <c r="D697" s="54"/>
      <c r="E697" s="54"/>
    </row>
    <row r="698" spans="1:5" ht="15" customHeight="1">
      <c r="A698" s="61" t="s">
        <v>1704</v>
      </c>
      <c r="B698" s="61" t="s">
        <v>1703</v>
      </c>
      <c r="C698" s="55">
        <v>53.1</v>
      </c>
      <c r="D698" s="54"/>
      <c r="E698" s="54"/>
    </row>
    <row r="699" spans="1:5" ht="15" customHeight="1">
      <c r="A699" s="61" t="s">
        <v>1702</v>
      </c>
      <c r="B699" s="61" t="s">
        <v>1701</v>
      </c>
      <c r="C699" s="55">
        <v>4.09</v>
      </c>
      <c r="D699" s="54"/>
      <c r="E699" s="54"/>
    </row>
    <row r="700" spans="1:5" ht="15" customHeight="1">
      <c r="A700" s="61" t="s">
        <v>1700</v>
      </c>
      <c r="B700" s="61" t="s">
        <v>1699</v>
      </c>
      <c r="C700" s="55">
        <v>265</v>
      </c>
      <c r="D700" s="54"/>
      <c r="E700" s="54"/>
    </row>
    <row r="701" spans="1:5" ht="15" customHeight="1">
      <c r="A701" s="61" t="s">
        <v>1698</v>
      </c>
      <c r="B701" s="61" t="s">
        <v>1697</v>
      </c>
      <c r="C701" s="55">
        <v>83.95</v>
      </c>
      <c r="D701" s="54"/>
      <c r="E701" s="54"/>
    </row>
    <row r="702" spans="1:5" ht="15" customHeight="1">
      <c r="A702" s="61" t="s">
        <v>1696</v>
      </c>
      <c r="B702" s="61" t="s">
        <v>1695</v>
      </c>
      <c r="C702" s="55">
        <v>537.58000000000004</v>
      </c>
      <c r="D702" s="54"/>
      <c r="E702" s="54"/>
    </row>
    <row r="703" spans="1:5" ht="15" customHeight="1">
      <c r="A703" s="61" t="s">
        <v>1694</v>
      </c>
      <c r="B703" s="61" t="s">
        <v>1693</v>
      </c>
      <c r="C703" s="55">
        <v>31.52</v>
      </c>
      <c r="D703" s="54"/>
      <c r="E703" s="54"/>
    </row>
    <row r="704" spans="1:5" ht="15" customHeight="1">
      <c r="A704" s="61" t="s">
        <v>1692</v>
      </c>
      <c r="B704" s="61" t="s">
        <v>1691</v>
      </c>
      <c r="C704" s="55">
        <v>16.510000000000002</v>
      </c>
      <c r="D704" s="54"/>
      <c r="E704" s="54"/>
    </row>
    <row r="705" spans="1:5" ht="15" customHeight="1">
      <c r="A705" s="61" t="s">
        <v>1690</v>
      </c>
      <c r="B705" s="61" t="s">
        <v>1689</v>
      </c>
      <c r="C705" s="55">
        <v>54.37</v>
      </c>
      <c r="D705" s="54"/>
      <c r="E705" s="54"/>
    </row>
    <row r="706" spans="1:5" ht="15" customHeight="1">
      <c r="A706" s="61" t="s">
        <v>1688</v>
      </c>
      <c r="B706" s="61" t="s">
        <v>1687</v>
      </c>
      <c r="C706" s="55">
        <v>51.37</v>
      </c>
      <c r="D706" s="54"/>
      <c r="E706" s="54"/>
    </row>
    <row r="707" spans="1:5" ht="15" customHeight="1">
      <c r="A707" s="61" t="s">
        <v>1686</v>
      </c>
      <c r="B707" s="61" t="s">
        <v>1685</v>
      </c>
      <c r="C707" s="55">
        <v>42.37</v>
      </c>
      <c r="D707" s="54"/>
      <c r="E707" s="54"/>
    </row>
    <row r="708" spans="1:5" ht="15" customHeight="1">
      <c r="A708" s="61" t="s">
        <v>1684</v>
      </c>
      <c r="B708" s="61" t="s">
        <v>1683</v>
      </c>
      <c r="C708" s="55">
        <v>72.430000000000007</v>
      </c>
      <c r="D708" s="54"/>
      <c r="E708" s="54"/>
    </row>
    <row r="709" spans="1:5" ht="15" customHeight="1">
      <c r="A709" s="61" t="s">
        <v>1682</v>
      </c>
      <c r="B709" s="61" t="s">
        <v>1681</v>
      </c>
      <c r="C709" s="55">
        <v>530.79999999999995</v>
      </c>
      <c r="D709" s="54"/>
      <c r="E709" s="54"/>
    </row>
    <row r="710" spans="1:5" ht="15" customHeight="1">
      <c r="A710" s="61" t="s">
        <v>1680</v>
      </c>
      <c r="B710" s="61" t="s">
        <v>1679</v>
      </c>
      <c r="C710" s="55">
        <v>263.61</v>
      </c>
      <c r="D710" s="54"/>
      <c r="E710" s="54"/>
    </row>
    <row r="711" spans="1:5" ht="15" customHeight="1">
      <c r="A711" s="61" t="s">
        <v>1678</v>
      </c>
      <c r="B711" s="61" t="s">
        <v>1677</v>
      </c>
      <c r="C711" s="55">
        <v>74.58</v>
      </c>
      <c r="D711" s="54"/>
      <c r="E711" s="54"/>
    </row>
    <row r="712" spans="1:5" ht="15" customHeight="1">
      <c r="A712" s="61" t="s">
        <v>1676</v>
      </c>
      <c r="B712" s="61" t="s">
        <v>1675</v>
      </c>
      <c r="C712" s="55">
        <v>539.79999999999995</v>
      </c>
      <c r="D712" s="54"/>
      <c r="E712" s="54"/>
    </row>
    <row r="713" spans="1:5" ht="15" customHeight="1">
      <c r="A713" s="61" t="s">
        <v>1674</v>
      </c>
      <c r="B713" s="61" t="s">
        <v>1673</v>
      </c>
      <c r="C713" s="55">
        <v>3.88</v>
      </c>
      <c r="D713" s="54"/>
      <c r="E713" s="54"/>
    </row>
    <row r="714" spans="1:5" ht="15" customHeight="1">
      <c r="A714" s="61" t="s">
        <v>1672</v>
      </c>
      <c r="B714" s="61" t="s">
        <v>1670</v>
      </c>
      <c r="C714" s="55">
        <v>1246.26</v>
      </c>
      <c r="D714" s="54"/>
      <c r="E714" s="54"/>
    </row>
    <row r="715" spans="1:5" ht="15" customHeight="1">
      <c r="A715" s="61" t="s">
        <v>1671</v>
      </c>
      <c r="B715" s="61" t="s">
        <v>1670</v>
      </c>
      <c r="C715" s="55">
        <v>1378.14</v>
      </c>
      <c r="D715" s="54"/>
      <c r="E715" s="54"/>
    </row>
    <row r="716" spans="1:5" ht="15" customHeight="1">
      <c r="A716" s="61" t="s">
        <v>1669</v>
      </c>
      <c r="B716" s="61" t="s">
        <v>1668</v>
      </c>
      <c r="C716" s="55">
        <v>308.5</v>
      </c>
      <c r="D716" s="54"/>
      <c r="E716" s="54"/>
    </row>
    <row r="717" spans="1:5" ht="15" customHeight="1">
      <c r="A717" s="61" t="s">
        <v>1667</v>
      </c>
      <c r="B717" s="61" t="s">
        <v>1666</v>
      </c>
      <c r="C717" s="55">
        <v>133.29</v>
      </c>
      <c r="D717" s="54"/>
      <c r="E717" s="54"/>
    </row>
    <row r="718" spans="1:5" ht="15" customHeight="1">
      <c r="A718" s="61" t="s">
        <v>1665</v>
      </c>
      <c r="B718" s="61" t="s">
        <v>1664</v>
      </c>
      <c r="C718" s="55">
        <v>522.14</v>
      </c>
      <c r="D718" s="54"/>
      <c r="E718" s="54"/>
    </row>
    <row r="719" spans="1:5" ht="15" customHeight="1">
      <c r="A719" s="61" t="s">
        <v>1663</v>
      </c>
      <c r="B719" s="61" t="s">
        <v>1662</v>
      </c>
      <c r="C719" s="55">
        <v>50.49</v>
      </c>
      <c r="D719" s="54"/>
      <c r="E719" s="54"/>
    </row>
    <row r="720" spans="1:5" ht="15" customHeight="1">
      <c r="A720" s="61" t="s">
        <v>1661</v>
      </c>
      <c r="B720" s="61" t="s">
        <v>1660</v>
      </c>
      <c r="C720" s="55">
        <v>52</v>
      </c>
      <c r="D720" s="54"/>
      <c r="E720" s="54"/>
    </row>
    <row r="721" spans="1:5" ht="15" customHeight="1">
      <c r="A721" s="61" t="s">
        <v>1659</v>
      </c>
      <c r="B721" s="61" t="s">
        <v>1658</v>
      </c>
      <c r="C721" s="55">
        <v>244.27</v>
      </c>
      <c r="D721" s="54"/>
      <c r="E721" s="54"/>
    </row>
    <row r="722" spans="1:5" ht="15" customHeight="1">
      <c r="A722" s="61" t="s">
        <v>1657</v>
      </c>
      <c r="B722" s="61" t="s">
        <v>1656</v>
      </c>
      <c r="C722" s="55">
        <v>124.27</v>
      </c>
      <c r="D722" s="54"/>
      <c r="E722" s="54"/>
    </row>
    <row r="723" spans="1:5" ht="15" customHeight="1">
      <c r="A723" s="61" t="s">
        <v>1655</v>
      </c>
      <c r="B723" s="61" t="s">
        <v>1654</v>
      </c>
      <c r="C723" s="55">
        <v>51.84</v>
      </c>
      <c r="D723" s="54"/>
      <c r="E723" s="54"/>
    </row>
    <row r="724" spans="1:5" ht="15" customHeight="1">
      <c r="A724" s="61" t="s">
        <v>1653</v>
      </c>
      <c r="B724" s="61" t="s">
        <v>1652</v>
      </c>
      <c r="C724" s="55">
        <v>376.66</v>
      </c>
      <c r="D724" s="54"/>
      <c r="E724" s="54"/>
    </row>
    <row r="725" spans="1:5" ht="15" customHeight="1">
      <c r="A725" s="61" t="s">
        <v>1651</v>
      </c>
      <c r="B725" s="61" t="s">
        <v>1650</v>
      </c>
      <c r="C725" s="55">
        <v>406.05</v>
      </c>
      <c r="D725" s="54"/>
      <c r="E725" s="54"/>
    </row>
    <row r="726" spans="1:5" ht="15" customHeight="1">
      <c r="A726" s="61" t="s">
        <v>1649</v>
      </c>
      <c r="B726" s="61" t="s">
        <v>1648</v>
      </c>
      <c r="C726" s="55">
        <v>385.35</v>
      </c>
      <c r="D726" s="54"/>
      <c r="E726" s="54"/>
    </row>
    <row r="727" spans="1:5" ht="15" customHeight="1">
      <c r="A727" s="61" t="s">
        <v>1647</v>
      </c>
      <c r="B727" s="61" t="s">
        <v>1646</v>
      </c>
      <c r="C727" s="55">
        <v>58</v>
      </c>
      <c r="D727" s="54"/>
      <c r="E727" s="54"/>
    </row>
    <row r="728" spans="1:5" ht="15" customHeight="1">
      <c r="A728" s="61" t="s">
        <v>1645</v>
      </c>
      <c r="B728" s="61" t="s">
        <v>1644</v>
      </c>
      <c r="C728" s="55">
        <v>41.78</v>
      </c>
      <c r="D728" s="54"/>
      <c r="E728" s="54"/>
    </row>
    <row r="729" spans="1:5" ht="15" customHeight="1">
      <c r="A729" s="61" t="s">
        <v>1643</v>
      </c>
      <c r="B729" s="61" t="s">
        <v>1642</v>
      </c>
      <c r="C729" s="55">
        <v>118.8</v>
      </c>
      <c r="D729" s="54"/>
      <c r="E729" s="54"/>
    </row>
    <row r="730" spans="1:5" ht="15" customHeight="1">
      <c r="A730" s="61" t="s">
        <v>1641</v>
      </c>
      <c r="B730" s="61" t="s">
        <v>1637</v>
      </c>
      <c r="C730" s="55">
        <v>90.98</v>
      </c>
      <c r="D730" s="54"/>
      <c r="E730" s="54"/>
    </row>
    <row r="731" spans="1:5" ht="15" customHeight="1">
      <c r="A731" s="61" t="s">
        <v>1640</v>
      </c>
      <c r="B731" s="61" t="s">
        <v>1639</v>
      </c>
      <c r="C731" s="55">
        <v>91.73</v>
      </c>
      <c r="D731" s="54"/>
      <c r="E731" s="54"/>
    </row>
    <row r="732" spans="1:5" ht="15" customHeight="1">
      <c r="A732" s="61" t="s">
        <v>1638</v>
      </c>
      <c r="B732" s="61" t="s">
        <v>1637</v>
      </c>
      <c r="C732" s="55">
        <v>78.34</v>
      </c>
      <c r="D732" s="54"/>
      <c r="E732" s="54"/>
    </row>
    <row r="733" spans="1:5" ht="15" customHeight="1">
      <c r="A733" s="61" t="s">
        <v>1636</v>
      </c>
      <c r="B733" s="61" t="s">
        <v>1635</v>
      </c>
      <c r="C733" s="55">
        <v>25.52</v>
      </c>
      <c r="D733" s="54"/>
      <c r="E733" s="54"/>
    </row>
    <row r="734" spans="1:5" ht="15" customHeight="1">
      <c r="A734" s="61" t="s">
        <v>1634</v>
      </c>
      <c r="B734" s="61" t="s">
        <v>1633</v>
      </c>
      <c r="C734" s="55">
        <v>1420.22</v>
      </c>
      <c r="D734" s="54"/>
      <c r="E734" s="54"/>
    </row>
    <row r="735" spans="1:5" ht="15" customHeight="1">
      <c r="A735" s="61" t="s">
        <v>1632</v>
      </c>
      <c r="B735" s="61" t="s">
        <v>1631</v>
      </c>
      <c r="C735" s="55">
        <v>60</v>
      </c>
      <c r="D735" s="54"/>
      <c r="E735" s="54"/>
    </row>
    <row r="736" spans="1:5" ht="15" customHeight="1">
      <c r="A736" s="61" t="s">
        <v>1630</v>
      </c>
      <c r="B736" s="61" t="s">
        <v>1629</v>
      </c>
      <c r="C736" s="55">
        <v>28.93</v>
      </c>
      <c r="D736" s="54"/>
      <c r="E736" s="54"/>
    </row>
    <row r="737" spans="1:5" ht="15" customHeight="1">
      <c r="A737" s="61" t="s">
        <v>1628</v>
      </c>
      <c r="B737" s="61" t="s">
        <v>1627</v>
      </c>
      <c r="C737" s="55">
        <v>26.85</v>
      </c>
      <c r="D737" s="54"/>
      <c r="E737" s="54"/>
    </row>
    <row r="738" spans="1:5" ht="15" customHeight="1">
      <c r="A738" s="61" t="s">
        <v>1626</v>
      </c>
      <c r="B738" s="61" t="s">
        <v>1625</v>
      </c>
      <c r="C738" s="55">
        <v>37.049999999999997</v>
      </c>
      <c r="D738" s="54"/>
      <c r="E738" s="54"/>
    </row>
    <row r="739" spans="1:5" ht="15" customHeight="1">
      <c r="A739" s="61" t="s">
        <v>1624</v>
      </c>
      <c r="B739" s="61" t="s">
        <v>1623</v>
      </c>
      <c r="C739" s="55">
        <v>369.79</v>
      </c>
      <c r="D739" s="54"/>
      <c r="E739" s="54"/>
    </row>
    <row r="740" spans="1:5" ht="15" customHeight="1">
      <c r="A740" s="61" t="s">
        <v>1622</v>
      </c>
      <c r="B740" s="61" t="s">
        <v>1621</v>
      </c>
      <c r="C740" s="55">
        <v>118.09</v>
      </c>
      <c r="D740" s="54"/>
      <c r="E740" s="54"/>
    </row>
    <row r="741" spans="1:5" ht="15" customHeight="1">
      <c r="A741" s="61" t="s">
        <v>1620</v>
      </c>
      <c r="B741" s="61" t="s">
        <v>1619</v>
      </c>
      <c r="C741" s="55">
        <v>7.56</v>
      </c>
      <c r="D741" s="54"/>
      <c r="E741" s="54"/>
    </row>
    <row r="742" spans="1:5" ht="15" customHeight="1">
      <c r="A742" s="61" t="s">
        <v>1618</v>
      </c>
      <c r="B742" s="61" t="s">
        <v>1617</v>
      </c>
      <c r="C742" s="55">
        <v>13.15</v>
      </c>
      <c r="D742" s="54"/>
      <c r="E742" s="54"/>
    </row>
    <row r="743" spans="1:5" ht="15" customHeight="1">
      <c r="A743" s="61" t="s">
        <v>1616</v>
      </c>
      <c r="B743" s="61" t="s">
        <v>1615</v>
      </c>
      <c r="C743" s="55">
        <v>18.100000000000001</v>
      </c>
      <c r="D743" s="54"/>
      <c r="E743" s="54"/>
    </row>
    <row r="744" spans="1:5" ht="15" customHeight="1">
      <c r="A744" s="61" t="s">
        <v>1614</v>
      </c>
      <c r="B744" s="61" t="s">
        <v>1613</v>
      </c>
      <c r="C744" s="55">
        <v>106.01</v>
      </c>
      <c r="D744" s="54"/>
      <c r="E744" s="54"/>
    </row>
    <row r="745" spans="1:5" ht="15" customHeight="1">
      <c r="A745" s="61" t="s">
        <v>1612</v>
      </c>
      <c r="B745" s="61" t="s">
        <v>1611</v>
      </c>
      <c r="C745" s="55">
        <v>339.93</v>
      </c>
      <c r="D745" s="54"/>
      <c r="E745" s="54"/>
    </row>
    <row r="746" spans="1:5" ht="15" customHeight="1">
      <c r="A746" s="61" t="s">
        <v>1610</v>
      </c>
      <c r="B746" s="61" t="s">
        <v>1609</v>
      </c>
      <c r="C746" s="55">
        <v>669.42</v>
      </c>
      <c r="D746" s="54"/>
      <c r="E746" s="54"/>
    </row>
    <row r="747" spans="1:5" ht="15" customHeight="1">
      <c r="A747" s="61" t="s">
        <v>1608</v>
      </c>
      <c r="B747" s="61" t="s">
        <v>1607</v>
      </c>
      <c r="C747" s="55">
        <v>1027.3499999999999</v>
      </c>
      <c r="D747" s="54"/>
      <c r="E747" s="54"/>
    </row>
    <row r="748" spans="1:5" ht="15" customHeight="1">
      <c r="A748" s="61" t="s">
        <v>1606</v>
      </c>
      <c r="B748" s="61" t="s">
        <v>1605</v>
      </c>
      <c r="C748" s="55">
        <v>46.73</v>
      </c>
      <c r="D748" s="54"/>
      <c r="E748" s="54"/>
    </row>
    <row r="749" spans="1:5" ht="15" customHeight="1">
      <c r="A749" s="61" t="s">
        <v>1604</v>
      </c>
      <c r="B749" s="61" t="s">
        <v>1603</v>
      </c>
      <c r="C749" s="55">
        <v>41.95</v>
      </c>
      <c r="D749" s="54"/>
      <c r="E749" s="54"/>
    </row>
    <row r="750" spans="1:5" ht="15" customHeight="1">
      <c r="A750" s="61" t="s">
        <v>1602</v>
      </c>
      <c r="B750" s="61" t="s">
        <v>1601</v>
      </c>
      <c r="C750" s="55">
        <v>646.12</v>
      </c>
      <c r="D750" s="54"/>
      <c r="E750" s="54"/>
    </row>
    <row r="751" spans="1:5" ht="15" customHeight="1">
      <c r="A751" s="61" t="s">
        <v>1600</v>
      </c>
      <c r="B751" s="61" t="s">
        <v>1599</v>
      </c>
      <c r="C751" s="55">
        <v>215.51</v>
      </c>
      <c r="D751" s="54"/>
      <c r="E751" s="54"/>
    </row>
    <row r="752" spans="1:5" ht="15" customHeight="1">
      <c r="A752" s="61" t="s">
        <v>1598</v>
      </c>
      <c r="B752" s="61" t="s">
        <v>1597</v>
      </c>
      <c r="C752" s="55">
        <v>129.66999999999999</v>
      </c>
      <c r="D752" s="54"/>
      <c r="E752" s="54"/>
    </row>
    <row r="753" spans="1:5" ht="15" customHeight="1">
      <c r="A753" s="61" t="s">
        <v>1596</v>
      </c>
      <c r="B753" s="61" t="s">
        <v>1595</v>
      </c>
      <c r="C753" s="55">
        <v>232.28</v>
      </c>
      <c r="D753" s="54"/>
      <c r="E753" s="54"/>
    </row>
    <row r="754" spans="1:5" ht="15" customHeight="1">
      <c r="A754" s="61" t="s">
        <v>1594</v>
      </c>
      <c r="B754" s="61" t="s">
        <v>1593</v>
      </c>
      <c r="C754" s="55">
        <v>206.29</v>
      </c>
      <c r="D754" s="54"/>
      <c r="E754" s="54"/>
    </row>
    <row r="755" spans="1:5" ht="15" customHeight="1">
      <c r="A755" s="61" t="s">
        <v>1592</v>
      </c>
      <c r="B755" s="61" t="s">
        <v>1591</v>
      </c>
      <c r="C755" s="55">
        <v>0.71</v>
      </c>
      <c r="D755" s="54"/>
      <c r="E755" s="54"/>
    </row>
    <row r="756" spans="1:5" ht="15" customHeight="1">
      <c r="A756" s="61" t="s">
        <v>1590</v>
      </c>
      <c r="B756" s="61" t="s">
        <v>1589</v>
      </c>
      <c r="C756" s="55">
        <v>106.48</v>
      </c>
      <c r="D756" s="54"/>
      <c r="E756" s="54"/>
    </row>
    <row r="757" spans="1:5" ht="15" customHeight="1">
      <c r="A757" s="61" t="s">
        <v>1588</v>
      </c>
      <c r="B757" s="61" t="s">
        <v>1587</v>
      </c>
      <c r="C757" s="55">
        <v>20.92</v>
      </c>
      <c r="D757" s="54"/>
      <c r="E757" s="54"/>
    </row>
    <row r="758" spans="1:5" ht="15" customHeight="1">
      <c r="A758" s="61" t="s">
        <v>1586</v>
      </c>
      <c r="B758" s="61" t="s">
        <v>1585</v>
      </c>
      <c r="C758" s="55">
        <v>474.2</v>
      </c>
      <c r="D758" s="54"/>
      <c r="E758" s="54"/>
    </row>
    <row r="759" spans="1:5" ht="15" customHeight="1">
      <c r="A759" s="61" t="s">
        <v>1584</v>
      </c>
      <c r="B759" s="61" t="s">
        <v>1583</v>
      </c>
      <c r="C759" s="55">
        <v>147.93</v>
      </c>
      <c r="D759" s="54"/>
      <c r="E759" s="54"/>
    </row>
    <row r="760" spans="1:5" ht="15" customHeight="1">
      <c r="A760" s="61" t="s">
        <v>1582</v>
      </c>
      <c r="B760" s="61" t="s">
        <v>1581</v>
      </c>
      <c r="C760" s="55">
        <v>35.28</v>
      </c>
      <c r="D760" s="54"/>
      <c r="E760" s="54"/>
    </row>
    <row r="761" spans="1:5" ht="15" customHeight="1">
      <c r="A761" s="61" t="s">
        <v>1580</v>
      </c>
      <c r="B761" s="61" t="s">
        <v>1578</v>
      </c>
      <c r="C761" s="55">
        <v>606.84</v>
      </c>
      <c r="D761" s="54"/>
      <c r="E761" s="54"/>
    </row>
    <row r="762" spans="1:5" ht="15" customHeight="1">
      <c r="A762" s="61" t="s">
        <v>1579</v>
      </c>
      <c r="B762" s="61" t="s">
        <v>1578</v>
      </c>
      <c r="C762" s="55">
        <v>603.19000000000005</v>
      </c>
      <c r="D762" s="54"/>
      <c r="E762" s="54"/>
    </row>
    <row r="763" spans="1:5" ht="15" customHeight="1">
      <c r="A763" s="61" t="s">
        <v>1577</v>
      </c>
      <c r="B763" s="61" t="s">
        <v>1576</v>
      </c>
      <c r="C763" s="55">
        <v>975.04</v>
      </c>
      <c r="D763" s="54"/>
      <c r="E763" s="54"/>
    </row>
    <row r="764" spans="1:5" ht="15" customHeight="1">
      <c r="A764" s="61" t="s">
        <v>1575</v>
      </c>
      <c r="B764" s="61" t="s">
        <v>1574</v>
      </c>
      <c r="C764" s="55">
        <v>891.94</v>
      </c>
      <c r="D764" s="54"/>
      <c r="E764" s="54"/>
    </row>
    <row r="765" spans="1:5" ht="15" customHeight="1">
      <c r="A765" s="61" t="s">
        <v>1573</v>
      </c>
      <c r="B765" s="61" t="s">
        <v>1572</v>
      </c>
      <c r="C765" s="55">
        <v>46.83</v>
      </c>
      <c r="D765" s="54"/>
      <c r="E765" s="54"/>
    </row>
    <row r="766" spans="1:5" ht="15" customHeight="1">
      <c r="A766" s="61" t="s">
        <v>1571</v>
      </c>
      <c r="B766" s="61" t="s">
        <v>1570</v>
      </c>
      <c r="C766" s="55">
        <v>60.86</v>
      </c>
      <c r="D766" s="54"/>
      <c r="E766" s="54"/>
    </row>
    <row r="767" spans="1:5" ht="15" customHeight="1">
      <c r="A767" s="61" t="s">
        <v>1569</v>
      </c>
      <c r="B767" s="61" t="s">
        <v>1568</v>
      </c>
      <c r="C767" s="55">
        <v>166.16</v>
      </c>
      <c r="D767" s="54"/>
      <c r="E767" s="54"/>
    </row>
    <row r="768" spans="1:5" ht="15" customHeight="1">
      <c r="A768" s="61" t="s">
        <v>1567</v>
      </c>
      <c r="B768" s="61" t="s">
        <v>1566</v>
      </c>
      <c r="C768" s="55">
        <v>1006.6</v>
      </c>
      <c r="D768" s="54"/>
      <c r="E768" s="54"/>
    </row>
    <row r="769" spans="1:5" ht="15" customHeight="1">
      <c r="A769" s="61" t="s">
        <v>1565</v>
      </c>
      <c r="B769" s="61" t="s">
        <v>1564</v>
      </c>
      <c r="C769" s="55">
        <v>1380.06</v>
      </c>
      <c r="D769" s="54"/>
      <c r="E769" s="54"/>
    </row>
    <row r="770" spans="1:5" ht="15" customHeight="1">
      <c r="A770" s="61" t="s">
        <v>1563</v>
      </c>
      <c r="B770" s="61" t="s">
        <v>1562</v>
      </c>
      <c r="C770" s="55">
        <v>877.1</v>
      </c>
      <c r="D770" s="54"/>
      <c r="E770" s="54"/>
    </row>
    <row r="771" spans="1:5" ht="15" customHeight="1">
      <c r="A771" s="61" t="s">
        <v>1561</v>
      </c>
      <c r="B771" s="61" t="s">
        <v>1560</v>
      </c>
      <c r="C771" s="55">
        <v>18.8</v>
      </c>
      <c r="D771" s="54"/>
      <c r="E771" s="54"/>
    </row>
    <row r="772" spans="1:5" ht="15" customHeight="1">
      <c r="A772" s="61" t="s">
        <v>1559</v>
      </c>
      <c r="B772" s="61" t="s">
        <v>1558</v>
      </c>
      <c r="C772" s="55">
        <v>20</v>
      </c>
      <c r="D772" s="54"/>
      <c r="E772" s="54"/>
    </row>
    <row r="773" spans="1:5" ht="15" customHeight="1">
      <c r="A773" s="61" t="s">
        <v>1557</v>
      </c>
      <c r="B773" s="61" t="s">
        <v>1556</v>
      </c>
      <c r="C773" s="55">
        <v>206.29</v>
      </c>
      <c r="D773" s="54"/>
      <c r="E773" s="54"/>
    </row>
    <row r="774" spans="1:5" ht="15" customHeight="1">
      <c r="A774" s="61" t="s">
        <v>1555</v>
      </c>
      <c r="B774" s="61" t="s">
        <v>1554</v>
      </c>
      <c r="C774" s="55">
        <v>25.94</v>
      </c>
      <c r="D774" s="54"/>
      <c r="E774" s="54"/>
    </row>
    <row r="775" spans="1:5" ht="15" customHeight="1">
      <c r="A775" s="61" t="s">
        <v>1553</v>
      </c>
      <c r="B775" s="61" t="s">
        <v>1552</v>
      </c>
      <c r="C775" s="55">
        <v>51.37</v>
      </c>
      <c r="D775" s="54"/>
      <c r="E775" s="54"/>
    </row>
    <row r="776" spans="1:5" ht="15" customHeight="1">
      <c r="A776" s="61" t="s">
        <v>1551</v>
      </c>
      <c r="B776" s="61" t="s">
        <v>1550</v>
      </c>
      <c r="C776" s="55">
        <v>319.12</v>
      </c>
      <c r="D776" s="54"/>
      <c r="E776" s="54"/>
    </row>
    <row r="777" spans="1:5" ht="15" customHeight="1">
      <c r="A777" s="61" t="s">
        <v>1549</v>
      </c>
      <c r="B777" s="61" t="s">
        <v>1548</v>
      </c>
      <c r="C777" s="55">
        <v>1113.53</v>
      </c>
      <c r="D777" s="54"/>
      <c r="E777" s="54"/>
    </row>
    <row r="778" spans="1:5" ht="15" customHeight="1">
      <c r="A778" s="61" t="s">
        <v>1547</v>
      </c>
      <c r="B778" s="61" t="s">
        <v>1546</v>
      </c>
      <c r="C778" s="55">
        <v>477.15</v>
      </c>
      <c r="D778" s="54"/>
      <c r="E778" s="54"/>
    </row>
    <row r="779" spans="1:5" ht="15" customHeight="1">
      <c r="A779" s="61" t="s">
        <v>1545</v>
      </c>
      <c r="B779" s="61" t="s">
        <v>1544</v>
      </c>
      <c r="C779" s="55">
        <v>93.25</v>
      </c>
      <c r="D779" s="54"/>
      <c r="E779" s="54"/>
    </row>
    <row r="780" spans="1:5" ht="15" customHeight="1">
      <c r="A780" s="61" t="s">
        <v>1543</v>
      </c>
      <c r="B780" s="61" t="s">
        <v>1542</v>
      </c>
      <c r="C780" s="55">
        <v>127.46</v>
      </c>
      <c r="D780" s="54"/>
      <c r="E780" s="54"/>
    </row>
    <row r="781" spans="1:5" ht="15" customHeight="1">
      <c r="A781" s="61" t="s">
        <v>1541</v>
      </c>
      <c r="B781" s="61" t="s">
        <v>1540</v>
      </c>
      <c r="C781" s="55">
        <v>631.88</v>
      </c>
      <c r="D781" s="54"/>
      <c r="E781" s="54"/>
    </row>
    <row r="782" spans="1:5" ht="15" customHeight="1">
      <c r="A782" s="61" t="s">
        <v>1539</v>
      </c>
      <c r="B782" s="61" t="s">
        <v>1538</v>
      </c>
      <c r="C782" s="55">
        <v>96.07</v>
      </c>
      <c r="D782" s="54"/>
      <c r="E782" s="54"/>
    </row>
    <row r="783" spans="1:5" ht="15" customHeight="1">
      <c r="A783" s="61" t="s">
        <v>1537</v>
      </c>
      <c r="B783" s="61" t="s">
        <v>1007</v>
      </c>
      <c r="C783" s="55">
        <v>329.44</v>
      </c>
      <c r="D783" s="54"/>
      <c r="E783" s="54"/>
    </row>
    <row r="784" spans="1:5" ht="15" customHeight="1">
      <c r="A784" s="61" t="s">
        <v>1536</v>
      </c>
      <c r="B784" s="61" t="s">
        <v>1535</v>
      </c>
      <c r="C784" s="55">
        <v>4.78</v>
      </c>
      <c r="D784" s="54"/>
      <c r="E784" s="54"/>
    </row>
    <row r="785" spans="1:5" ht="15" customHeight="1">
      <c r="A785" s="61" t="s">
        <v>1534</v>
      </c>
      <c r="B785" s="61" t="s">
        <v>1533</v>
      </c>
      <c r="C785" s="55">
        <v>19.98</v>
      </c>
      <c r="D785" s="54"/>
      <c r="E785" s="54"/>
    </row>
    <row r="786" spans="1:5" ht="15" customHeight="1">
      <c r="A786" s="61" t="s">
        <v>1532</v>
      </c>
      <c r="B786" s="61" t="s">
        <v>1531</v>
      </c>
      <c r="C786" s="55">
        <v>19.98</v>
      </c>
      <c r="D786" s="54"/>
      <c r="E786" s="54"/>
    </row>
    <row r="787" spans="1:5" ht="15" customHeight="1">
      <c r="A787" s="61" t="s">
        <v>1530</v>
      </c>
      <c r="B787" s="61" t="s">
        <v>1529</v>
      </c>
      <c r="C787" s="55">
        <v>13.86</v>
      </c>
      <c r="D787" s="54"/>
      <c r="E787" s="54"/>
    </row>
    <row r="788" spans="1:5" ht="15" customHeight="1">
      <c r="A788" s="61" t="s">
        <v>1528</v>
      </c>
      <c r="B788" s="61" t="s">
        <v>1527</v>
      </c>
      <c r="C788" s="55">
        <v>41.63</v>
      </c>
      <c r="D788" s="54"/>
      <c r="E788" s="54"/>
    </row>
    <row r="789" spans="1:5" ht="15" customHeight="1">
      <c r="A789" s="61" t="s">
        <v>1526</v>
      </c>
      <c r="B789" s="61" t="s">
        <v>1525</v>
      </c>
      <c r="C789" s="55">
        <v>30.19</v>
      </c>
      <c r="D789" s="54"/>
      <c r="E789" s="54"/>
    </row>
    <row r="790" spans="1:5" ht="15" customHeight="1">
      <c r="A790" s="61" t="s">
        <v>1524</v>
      </c>
      <c r="B790" s="61" t="s">
        <v>1523</v>
      </c>
      <c r="C790" s="55">
        <v>30.19</v>
      </c>
      <c r="D790" s="54"/>
      <c r="E790" s="54"/>
    </row>
    <row r="791" spans="1:5" ht="15" customHeight="1">
      <c r="A791" s="61" t="s">
        <v>1522</v>
      </c>
      <c r="B791" s="61" t="s">
        <v>1521</v>
      </c>
      <c r="C791" s="55">
        <v>43.66</v>
      </c>
      <c r="D791" s="54"/>
      <c r="E791" s="54"/>
    </row>
    <row r="792" spans="1:5" ht="15" customHeight="1">
      <c r="A792" s="61" t="s">
        <v>1520</v>
      </c>
      <c r="B792" s="61" t="s">
        <v>1519</v>
      </c>
      <c r="C792" s="55">
        <v>3.78</v>
      </c>
      <c r="D792" s="54"/>
      <c r="E792" s="54"/>
    </row>
    <row r="793" spans="1:5" ht="15" customHeight="1">
      <c r="A793" s="61" t="s">
        <v>1518</v>
      </c>
      <c r="B793" s="61" t="s">
        <v>1517</v>
      </c>
      <c r="C793" s="55">
        <v>9.41</v>
      </c>
      <c r="D793" s="54"/>
      <c r="E793" s="54"/>
    </row>
    <row r="794" spans="1:5" ht="15" customHeight="1">
      <c r="A794" s="61" t="s">
        <v>1516</v>
      </c>
      <c r="B794" s="61" t="s">
        <v>1515</v>
      </c>
      <c r="C794" s="55">
        <v>42.61</v>
      </c>
      <c r="D794" s="54"/>
      <c r="E794" s="54"/>
    </row>
    <row r="795" spans="1:5" ht="15" customHeight="1">
      <c r="A795" s="61" t="s">
        <v>1514</v>
      </c>
      <c r="B795" s="61" t="s">
        <v>1513</v>
      </c>
      <c r="C795" s="55">
        <v>47.93</v>
      </c>
      <c r="D795" s="54"/>
      <c r="E795" s="54"/>
    </row>
    <row r="796" spans="1:5" ht="15" customHeight="1">
      <c r="A796" s="61" t="s">
        <v>1512</v>
      </c>
      <c r="B796" s="61" t="s">
        <v>1511</v>
      </c>
      <c r="C796" s="55">
        <v>5.5</v>
      </c>
      <c r="D796" s="54"/>
      <c r="E796" s="54"/>
    </row>
    <row r="797" spans="1:5" ht="15" customHeight="1">
      <c r="A797" s="61" t="s">
        <v>1510</v>
      </c>
      <c r="B797" s="61" t="s">
        <v>1509</v>
      </c>
      <c r="C797" s="55">
        <v>14.14</v>
      </c>
      <c r="D797" s="54"/>
      <c r="E797" s="54"/>
    </row>
    <row r="798" spans="1:5" ht="15" customHeight="1">
      <c r="A798" s="61" t="s">
        <v>1508</v>
      </c>
      <c r="B798" s="61" t="s">
        <v>1507</v>
      </c>
      <c r="C798" s="55">
        <v>20.16</v>
      </c>
      <c r="D798" s="54"/>
      <c r="E798" s="54"/>
    </row>
    <row r="799" spans="1:5" ht="15" customHeight="1">
      <c r="A799" s="61" t="s">
        <v>1506</v>
      </c>
      <c r="B799" s="61" t="s">
        <v>1505</v>
      </c>
      <c r="C799" s="55">
        <v>80.819999999999993</v>
      </c>
      <c r="D799" s="54"/>
      <c r="E799" s="54"/>
    </row>
    <row r="800" spans="1:5" ht="15" customHeight="1">
      <c r="A800" s="61" t="s">
        <v>1504</v>
      </c>
      <c r="B800" s="61" t="s">
        <v>1503</v>
      </c>
      <c r="C800" s="55">
        <v>50.06</v>
      </c>
      <c r="D800" s="54"/>
      <c r="E800" s="54"/>
    </row>
    <row r="801" spans="1:5" ht="15" customHeight="1">
      <c r="A801" s="61" t="s">
        <v>1502</v>
      </c>
      <c r="B801" s="61" t="s">
        <v>1501</v>
      </c>
      <c r="C801" s="55">
        <v>24.1</v>
      </c>
      <c r="D801" s="54"/>
      <c r="E801" s="54"/>
    </row>
    <row r="802" spans="1:5" ht="15" customHeight="1">
      <c r="A802" s="61" t="s">
        <v>1500</v>
      </c>
      <c r="B802" s="61" t="s">
        <v>1499</v>
      </c>
      <c r="C802" s="55">
        <v>4.3</v>
      </c>
      <c r="D802" s="54"/>
      <c r="E802" s="54"/>
    </row>
    <row r="803" spans="1:5" ht="15" customHeight="1">
      <c r="A803" s="61" t="s">
        <v>1498</v>
      </c>
      <c r="B803" s="61" t="s">
        <v>1497</v>
      </c>
      <c r="C803" s="55">
        <v>233.36</v>
      </c>
      <c r="D803" s="54"/>
      <c r="E803" s="54"/>
    </row>
    <row r="804" spans="1:5" ht="15" customHeight="1">
      <c r="A804" s="61" t="s">
        <v>1496</v>
      </c>
      <c r="B804" s="61" t="s">
        <v>1495</v>
      </c>
      <c r="C804" s="55">
        <v>18.940000000000001</v>
      </c>
      <c r="D804" s="54"/>
      <c r="E804" s="54"/>
    </row>
    <row r="805" spans="1:5" ht="15" customHeight="1">
      <c r="A805" s="61" t="s">
        <v>1494</v>
      </c>
      <c r="B805" s="61" t="s">
        <v>1493</v>
      </c>
      <c r="C805" s="55">
        <v>18.170000000000002</v>
      </c>
      <c r="D805" s="54"/>
      <c r="E805" s="54"/>
    </row>
    <row r="806" spans="1:5" ht="15" customHeight="1">
      <c r="A806" s="61" t="s">
        <v>1492</v>
      </c>
      <c r="B806" s="61" t="s">
        <v>1491</v>
      </c>
      <c r="C806" s="55">
        <v>43.07</v>
      </c>
      <c r="D806" s="54"/>
      <c r="E806" s="54"/>
    </row>
    <row r="807" spans="1:5" ht="15" customHeight="1">
      <c r="A807" s="61" t="s">
        <v>1490</v>
      </c>
      <c r="B807" s="61" t="s">
        <v>1489</v>
      </c>
      <c r="C807" s="55">
        <v>43.07</v>
      </c>
      <c r="D807" s="54"/>
      <c r="E807" s="54"/>
    </row>
    <row r="808" spans="1:5" ht="15" customHeight="1">
      <c r="A808" s="61" t="s">
        <v>1488</v>
      </c>
      <c r="B808" s="61" t="s">
        <v>1487</v>
      </c>
      <c r="C808" s="55">
        <v>19.190000000000001</v>
      </c>
      <c r="D808" s="54"/>
      <c r="E808" s="54"/>
    </row>
    <row r="809" spans="1:5" ht="15" customHeight="1">
      <c r="A809" s="61" t="s">
        <v>1486</v>
      </c>
      <c r="B809" s="61" t="s">
        <v>1485</v>
      </c>
      <c r="C809" s="55">
        <v>19.190000000000001</v>
      </c>
      <c r="D809" s="54"/>
      <c r="E809" s="54"/>
    </row>
    <row r="810" spans="1:5" ht="15" customHeight="1">
      <c r="A810" s="61" t="s">
        <v>1484</v>
      </c>
      <c r="B810" s="61" t="s">
        <v>1483</v>
      </c>
      <c r="C810" s="55">
        <v>22.51</v>
      </c>
      <c r="D810" s="54"/>
      <c r="E810" s="54"/>
    </row>
    <row r="811" spans="1:5" ht="15" customHeight="1">
      <c r="A811" s="61" t="s">
        <v>1482</v>
      </c>
      <c r="B811" s="61" t="s">
        <v>1481</v>
      </c>
      <c r="C811" s="55">
        <v>22.51</v>
      </c>
      <c r="D811" s="54"/>
      <c r="E811" s="54"/>
    </row>
    <row r="812" spans="1:5" ht="15" customHeight="1">
      <c r="A812" s="61" t="s">
        <v>1480</v>
      </c>
      <c r="B812" s="61" t="s">
        <v>1479</v>
      </c>
      <c r="C812" s="55">
        <v>3.61</v>
      </c>
      <c r="D812" s="54"/>
      <c r="E812" s="54"/>
    </row>
    <row r="813" spans="1:5" ht="15" customHeight="1">
      <c r="A813" s="61" t="s">
        <v>1478</v>
      </c>
      <c r="B813" s="61" t="s">
        <v>1477</v>
      </c>
      <c r="C813" s="55">
        <v>8.7100000000000009</v>
      </c>
      <c r="D813" s="54"/>
      <c r="E813" s="54"/>
    </row>
    <row r="814" spans="1:5" ht="15" customHeight="1">
      <c r="A814" s="61" t="s">
        <v>1476</v>
      </c>
      <c r="B814" s="61" t="s">
        <v>1474</v>
      </c>
      <c r="C814" s="55">
        <v>25.37</v>
      </c>
      <c r="D814" s="54"/>
      <c r="E814" s="54"/>
    </row>
    <row r="815" spans="1:5" ht="15" customHeight="1">
      <c r="A815" s="61" t="s">
        <v>1475</v>
      </c>
      <c r="B815" s="61" t="s">
        <v>1474</v>
      </c>
      <c r="C815" s="55">
        <v>24.67</v>
      </c>
      <c r="D815" s="54"/>
      <c r="E815" s="54"/>
    </row>
    <row r="816" spans="1:5" ht="15" customHeight="1">
      <c r="A816" s="61" t="s">
        <v>1473</v>
      </c>
      <c r="B816" s="61" t="s">
        <v>1472</v>
      </c>
      <c r="C816" s="55">
        <v>26.6</v>
      </c>
      <c r="D816" s="54"/>
      <c r="E816" s="54"/>
    </row>
    <row r="817" spans="1:5" ht="15" customHeight="1">
      <c r="A817" s="61" t="s">
        <v>1471</v>
      </c>
      <c r="B817" s="61" t="s">
        <v>1470</v>
      </c>
      <c r="C817" s="55">
        <v>63.7</v>
      </c>
      <c r="D817" s="54"/>
      <c r="E817" s="54"/>
    </row>
    <row r="818" spans="1:5" ht="15" customHeight="1">
      <c r="A818" s="61" t="s">
        <v>1469</v>
      </c>
      <c r="B818" s="61" t="s">
        <v>48</v>
      </c>
      <c r="C818" s="55">
        <v>19.82</v>
      </c>
      <c r="D818" s="54"/>
      <c r="E818" s="54"/>
    </row>
    <row r="819" spans="1:5" ht="15" customHeight="1">
      <c r="A819" s="61" t="s">
        <v>1468</v>
      </c>
      <c r="B819" s="61" t="s">
        <v>1467</v>
      </c>
      <c r="C819" s="55">
        <v>40.200000000000003</v>
      </c>
      <c r="D819" s="54"/>
      <c r="E819" s="54"/>
    </row>
    <row r="820" spans="1:5" ht="15" customHeight="1">
      <c r="A820" s="61" t="s">
        <v>1466</v>
      </c>
      <c r="B820" s="61" t="s">
        <v>1465</v>
      </c>
      <c r="C820" s="55">
        <v>59.62</v>
      </c>
      <c r="D820" s="54"/>
      <c r="E820" s="54"/>
    </row>
    <row r="821" spans="1:5" ht="15" customHeight="1">
      <c r="A821" s="61" t="s">
        <v>1464</v>
      </c>
      <c r="B821" s="61" t="s">
        <v>1463</v>
      </c>
      <c r="C821" s="55">
        <v>8.64</v>
      </c>
      <c r="D821" s="54"/>
      <c r="E821" s="54"/>
    </row>
    <row r="822" spans="1:5" ht="15" customHeight="1">
      <c r="A822" s="61" t="s">
        <v>1462</v>
      </c>
      <c r="B822" s="61" t="s">
        <v>1461</v>
      </c>
      <c r="C822" s="55">
        <v>34.57</v>
      </c>
      <c r="D822" s="54"/>
      <c r="E822" s="54"/>
    </row>
    <row r="823" spans="1:5" ht="15" customHeight="1">
      <c r="A823" s="61" t="s">
        <v>1460</v>
      </c>
      <c r="B823" s="61" t="s">
        <v>1459</v>
      </c>
      <c r="C823" s="55">
        <v>47.2</v>
      </c>
      <c r="D823" s="54"/>
      <c r="E823" s="54"/>
    </row>
    <row r="824" spans="1:5" ht="15" customHeight="1">
      <c r="A824" s="61" t="s">
        <v>1458</v>
      </c>
      <c r="B824" s="61" t="s">
        <v>1456</v>
      </c>
      <c r="C824" s="55">
        <v>104.66</v>
      </c>
      <c r="D824" s="54"/>
      <c r="E824" s="54"/>
    </row>
    <row r="825" spans="1:5" ht="15" customHeight="1">
      <c r="A825" s="61" t="s">
        <v>1457</v>
      </c>
      <c r="B825" s="61" t="s">
        <v>1456</v>
      </c>
      <c r="C825" s="55">
        <v>92.46</v>
      </c>
      <c r="D825" s="54"/>
      <c r="E825" s="54"/>
    </row>
    <row r="826" spans="1:5" ht="15" customHeight="1">
      <c r="A826" s="61" t="s">
        <v>1455</v>
      </c>
      <c r="B826" s="61" t="s">
        <v>1454</v>
      </c>
      <c r="C826" s="55">
        <v>80.400000000000006</v>
      </c>
      <c r="D826" s="54"/>
      <c r="E826" s="54"/>
    </row>
    <row r="827" spans="1:5" ht="15" customHeight="1">
      <c r="A827" s="61" t="s">
        <v>1453</v>
      </c>
      <c r="B827" s="61" t="s">
        <v>1452</v>
      </c>
      <c r="C827" s="55">
        <v>47.44</v>
      </c>
      <c r="D827" s="54"/>
      <c r="E827" s="54"/>
    </row>
    <row r="828" spans="1:5" ht="15" customHeight="1">
      <c r="A828" s="61" t="s">
        <v>1451</v>
      </c>
      <c r="B828" s="61" t="s">
        <v>1450</v>
      </c>
      <c r="C828" s="55">
        <v>37.86</v>
      </c>
      <c r="D828" s="54"/>
      <c r="E828" s="54"/>
    </row>
    <row r="829" spans="1:5" ht="15" customHeight="1">
      <c r="A829" s="61" t="s">
        <v>1449</v>
      </c>
      <c r="B829" s="61" t="s">
        <v>1448</v>
      </c>
      <c r="C829" s="55">
        <v>102.26</v>
      </c>
      <c r="D829" s="54"/>
      <c r="E829" s="54"/>
    </row>
    <row r="830" spans="1:5" ht="15" customHeight="1">
      <c r="A830" s="61" t="s">
        <v>1447</v>
      </c>
      <c r="B830" s="61" t="s">
        <v>1419</v>
      </c>
      <c r="C830" s="55">
        <v>290.55</v>
      </c>
      <c r="D830" s="54"/>
      <c r="E830" s="54"/>
    </row>
    <row r="831" spans="1:5" ht="15" customHeight="1">
      <c r="A831" s="61" t="s">
        <v>1446</v>
      </c>
      <c r="B831" s="61" t="s">
        <v>1445</v>
      </c>
      <c r="C831" s="55">
        <v>158.24</v>
      </c>
      <c r="D831" s="54"/>
      <c r="E831" s="54"/>
    </row>
    <row r="832" spans="1:5" ht="15" customHeight="1">
      <c r="A832" s="61" t="s">
        <v>1444</v>
      </c>
      <c r="B832" s="61" t="s">
        <v>1443</v>
      </c>
      <c r="C832" s="55">
        <v>125.54</v>
      </c>
      <c r="D832" s="54"/>
      <c r="E832" s="54"/>
    </row>
    <row r="833" spans="1:5" ht="15" customHeight="1">
      <c r="A833" s="61" t="s">
        <v>1442</v>
      </c>
      <c r="B833" s="61" t="s">
        <v>1441</v>
      </c>
      <c r="C833" s="55">
        <v>29.95</v>
      </c>
      <c r="D833" s="54"/>
      <c r="E833" s="54"/>
    </row>
    <row r="834" spans="1:5" ht="15" customHeight="1">
      <c r="A834" s="61" t="s">
        <v>1440</v>
      </c>
      <c r="B834" s="61" t="s">
        <v>1439</v>
      </c>
      <c r="C834" s="55">
        <v>91.29</v>
      </c>
      <c r="D834" s="54"/>
      <c r="E834" s="54"/>
    </row>
    <row r="835" spans="1:5" ht="15" customHeight="1">
      <c r="A835" s="61" t="s">
        <v>1438</v>
      </c>
      <c r="B835" s="61" t="s">
        <v>1437</v>
      </c>
      <c r="C835" s="55">
        <v>45.02</v>
      </c>
      <c r="D835" s="54"/>
      <c r="E835" s="54"/>
    </row>
    <row r="836" spans="1:5" ht="15" customHeight="1">
      <c r="A836" s="61" t="s">
        <v>1436</v>
      </c>
      <c r="B836" s="61" t="s">
        <v>1435</v>
      </c>
      <c r="C836" s="55">
        <v>45.02</v>
      </c>
      <c r="D836" s="54"/>
      <c r="E836" s="54"/>
    </row>
    <row r="837" spans="1:5" ht="15" customHeight="1">
      <c r="A837" s="61" t="s">
        <v>1434</v>
      </c>
      <c r="B837" s="61" t="s">
        <v>1433</v>
      </c>
      <c r="C837" s="55">
        <v>64.319999999999993</v>
      </c>
      <c r="D837" s="54"/>
      <c r="E837" s="54"/>
    </row>
    <row r="838" spans="1:5" ht="15" customHeight="1">
      <c r="A838" s="61" t="s">
        <v>1432</v>
      </c>
      <c r="B838" s="61" t="s">
        <v>1431</v>
      </c>
      <c r="C838" s="55">
        <v>72.94</v>
      </c>
      <c r="D838" s="54"/>
      <c r="E838" s="54"/>
    </row>
    <row r="839" spans="1:5" ht="15" customHeight="1">
      <c r="A839" s="61" t="s">
        <v>1430</v>
      </c>
      <c r="B839" s="61" t="s">
        <v>1429</v>
      </c>
      <c r="C839" s="55">
        <v>45.02</v>
      </c>
      <c r="D839" s="54"/>
      <c r="E839" s="54"/>
    </row>
    <row r="840" spans="1:5" ht="15" customHeight="1">
      <c r="A840" s="61" t="s">
        <v>1428</v>
      </c>
      <c r="B840" s="61" t="s">
        <v>1427</v>
      </c>
      <c r="C840" s="55">
        <v>10.83</v>
      </c>
      <c r="D840" s="54"/>
      <c r="E840" s="54"/>
    </row>
    <row r="841" spans="1:5" ht="15" customHeight="1">
      <c r="A841" s="61" t="s">
        <v>1426</v>
      </c>
      <c r="B841" s="61" t="s">
        <v>1425</v>
      </c>
      <c r="C841" s="55">
        <v>31.03</v>
      </c>
      <c r="D841" s="54"/>
      <c r="E841" s="54"/>
    </row>
    <row r="842" spans="1:5" ht="15" customHeight="1">
      <c r="A842" s="61" t="s">
        <v>1424</v>
      </c>
      <c r="B842" s="61" t="s">
        <v>1423</v>
      </c>
      <c r="C842" s="55">
        <v>42.36</v>
      </c>
      <c r="D842" s="54"/>
      <c r="E842" s="54"/>
    </row>
    <row r="843" spans="1:5" ht="15" customHeight="1">
      <c r="A843" s="61" t="s">
        <v>1422</v>
      </c>
      <c r="B843" s="61" t="s">
        <v>1421</v>
      </c>
      <c r="C843" s="55">
        <v>408.73</v>
      </c>
      <c r="D843" s="54"/>
      <c r="E843" s="54"/>
    </row>
    <row r="844" spans="1:5" ht="15" customHeight="1">
      <c r="A844" s="61" t="s">
        <v>1420</v>
      </c>
      <c r="B844" s="61" t="s">
        <v>1419</v>
      </c>
      <c r="C844" s="55">
        <v>148</v>
      </c>
      <c r="D844" s="54"/>
      <c r="E844" s="54"/>
    </row>
    <row r="845" spans="1:5" ht="15" customHeight="1">
      <c r="A845" s="61" t="s">
        <v>1418</v>
      </c>
      <c r="B845" s="61" t="s">
        <v>1417</v>
      </c>
      <c r="C845" s="55">
        <v>60</v>
      </c>
      <c r="D845" s="54"/>
      <c r="E845" s="54"/>
    </row>
    <row r="846" spans="1:5" ht="15" customHeight="1">
      <c r="A846" s="61" t="s">
        <v>1416</v>
      </c>
      <c r="B846" s="61" t="s">
        <v>1415</v>
      </c>
      <c r="C846" s="55">
        <v>88.88</v>
      </c>
      <c r="D846" s="54"/>
      <c r="E846" s="54"/>
    </row>
    <row r="847" spans="1:5" ht="15" customHeight="1">
      <c r="A847" s="61" t="s">
        <v>1414</v>
      </c>
      <c r="B847" s="61" t="s">
        <v>1413</v>
      </c>
      <c r="C847" s="55">
        <v>221.72</v>
      </c>
      <c r="D847" s="54"/>
      <c r="E847" s="54"/>
    </row>
    <row r="848" spans="1:5" ht="15" customHeight="1">
      <c r="A848" s="61" t="s">
        <v>1412</v>
      </c>
      <c r="B848" s="61" t="s">
        <v>1411</v>
      </c>
      <c r="C848" s="55">
        <v>214.13</v>
      </c>
      <c r="D848" s="54"/>
      <c r="E848" s="54"/>
    </row>
    <row r="849" spans="1:5" ht="15" customHeight="1">
      <c r="A849" s="61" t="s">
        <v>1410</v>
      </c>
      <c r="B849" s="61" t="s">
        <v>1409</v>
      </c>
      <c r="C849" s="55">
        <v>900.48</v>
      </c>
      <c r="D849" s="54"/>
      <c r="E849" s="54"/>
    </row>
    <row r="850" spans="1:5" ht="15" customHeight="1">
      <c r="A850" s="61" t="s">
        <v>1408</v>
      </c>
      <c r="B850" s="61" t="s">
        <v>1404</v>
      </c>
      <c r="C850" s="55">
        <v>730.41</v>
      </c>
      <c r="D850" s="54"/>
      <c r="E850" s="54"/>
    </row>
    <row r="851" spans="1:5" ht="15" customHeight="1">
      <c r="A851" s="61" t="s">
        <v>1407</v>
      </c>
      <c r="B851" s="61" t="s">
        <v>1406</v>
      </c>
      <c r="C851" s="55">
        <v>1025</v>
      </c>
      <c r="D851" s="54"/>
      <c r="E851" s="54"/>
    </row>
    <row r="852" spans="1:5" ht="15" customHeight="1">
      <c r="A852" s="61" t="s">
        <v>1405</v>
      </c>
      <c r="B852" s="61" t="s">
        <v>1404</v>
      </c>
      <c r="C852" s="55">
        <v>1009.7</v>
      </c>
      <c r="D852" s="54"/>
      <c r="E852" s="54"/>
    </row>
    <row r="853" spans="1:5" ht="15" customHeight="1">
      <c r="A853" s="61" t="s">
        <v>1403</v>
      </c>
      <c r="B853" s="61" t="s">
        <v>1402</v>
      </c>
      <c r="C853" s="55">
        <v>80.099999999999994</v>
      </c>
      <c r="D853" s="54"/>
      <c r="E853" s="54"/>
    </row>
    <row r="854" spans="1:5" ht="15" customHeight="1">
      <c r="A854" s="61" t="s">
        <v>1401</v>
      </c>
      <c r="B854" s="61" t="s">
        <v>1400</v>
      </c>
      <c r="C854" s="55">
        <v>1255.77</v>
      </c>
      <c r="D854" s="54"/>
      <c r="E854" s="54"/>
    </row>
    <row r="855" spans="1:5" ht="15" customHeight="1">
      <c r="A855" s="61" t="s">
        <v>1399</v>
      </c>
      <c r="B855" s="61" t="s">
        <v>1398</v>
      </c>
      <c r="C855" s="55">
        <v>86.07</v>
      </c>
      <c r="D855" s="54"/>
      <c r="E855" s="54"/>
    </row>
    <row r="856" spans="1:5" ht="15" customHeight="1">
      <c r="A856" s="61" t="s">
        <v>1397</v>
      </c>
      <c r="B856" s="61" t="s">
        <v>1396</v>
      </c>
      <c r="C856" s="55">
        <v>103.3</v>
      </c>
      <c r="D856" s="54"/>
      <c r="E856" s="54"/>
    </row>
    <row r="857" spans="1:5" ht="15" customHeight="1">
      <c r="A857" s="61" t="s">
        <v>1395</v>
      </c>
      <c r="B857" s="61" t="s">
        <v>1394</v>
      </c>
      <c r="C857" s="55">
        <v>172.8</v>
      </c>
      <c r="D857" s="54"/>
      <c r="E857" s="54"/>
    </row>
    <row r="858" spans="1:5" ht="15" customHeight="1">
      <c r="A858" s="61" t="s">
        <v>1393</v>
      </c>
      <c r="B858" s="61" t="s">
        <v>1392</v>
      </c>
      <c r="C858" s="55">
        <v>76.42</v>
      </c>
      <c r="D858" s="54"/>
      <c r="E858" s="54"/>
    </row>
    <row r="859" spans="1:5" ht="15" customHeight="1">
      <c r="A859" s="61" t="s">
        <v>1391</v>
      </c>
      <c r="B859" s="61" t="s">
        <v>1390</v>
      </c>
      <c r="C859" s="55">
        <v>40.369999999999997</v>
      </c>
      <c r="D859" s="54"/>
      <c r="E859" s="54"/>
    </row>
    <row r="860" spans="1:5" ht="15" customHeight="1">
      <c r="A860" s="61" t="s">
        <v>1389</v>
      </c>
      <c r="B860" s="61" t="s">
        <v>1388</v>
      </c>
      <c r="C860" s="55">
        <v>409.81</v>
      </c>
      <c r="D860" s="54"/>
      <c r="E860" s="54"/>
    </row>
    <row r="861" spans="1:5" ht="15" customHeight="1">
      <c r="A861" s="61" t="s">
        <v>1387</v>
      </c>
      <c r="B861" s="61" t="s">
        <v>1386</v>
      </c>
      <c r="C861" s="55">
        <v>82.74</v>
      </c>
      <c r="D861" s="54"/>
      <c r="E861" s="54"/>
    </row>
    <row r="862" spans="1:5" ht="15" customHeight="1">
      <c r="A862" s="61" t="s">
        <v>1385</v>
      </c>
      <c r="B862" s="61" t="s">
        <v>1384</v>
      </c>
      <c r="C862" s="55">
        <v>34.700000000000003</v>
      </c>
      <c r="D862" s="54"/>
      <c r="E862" s="54"/>
    </row>
    <row r="863" spans="1:5" ht="15" customHeight="1">
      <c r="A863" s="61" t="s">
        <v>1383</v>
      </c>
      <c r="B863" s="61" t="s">
        <v>1382</v>
      </c>
      <c r="C863" s="55">
        <v>20.010000000000002</v>
      </c>
      <c r="D863" s="54"/>
      <c r="E863" s="54"/>
    </row>
    <row r="864" spans="1:5" ht="15" customHeight="1">
      <c r="A864" s="61" t="s">
        <v>1381</v>
      </c>
      <c r="B864" s="61" t="s">
        <v>1380</v>
      </c>
      <c r="C864" s="55">
        <v>51</v>
      </c>
      <c r="D864" s="54"/>
      <c r="E864" s="54"/>
    </row>
    <row r="865" spans="1:5" ht="15" customHeight="1">
      <c r="A865" s="61" t="s">
        <v>1379</v>
      </c>
      <c r="B865" s="61" t="s">
        <v>1370</v>
      </c>
      <c r="C865" s="55">
        <v>73.67</v>
      </c>
      <c r="D865" s="54"/>
      <c r="E865" s="54"/>
    </row>
    <row r="866" spans="1:5" ht="15" customHeight="1">
      <c r="A866" s="61" t="s">
        <v>1378</v>
      </c>
      <c r="B866" s="61" t="s">
        <v>1377</v>
      </c>
      <c r="C866" s="55">
        <v>245.53</v>
      </c>
      <c r="D866" s="54"/>
      <c r="E866" s="54"/>
    </row>
    <row r="867" spans="1:5" ht="15" customHeight="1">
      <c r="A867" s="61" t="s">
        <v>1376</v>
      </c>
      <c r="B867" s="61" t="s">
        <v>1374</v>
      </c>
      <c r="C867" s="55">
        <v>267.16000000000003</v>
      </c>
      <c r="D867" s="54"/>
      <c r="E867" s="54"/>
    </row>
    <row r="868" spans="1:5" ht="15" customHeight="1">
      <c r="A868" s="61" t="s">
        <v>1375</v>
      </c>
      <c r="B868" s="61" t="s">
        <v>1374</v>
      </c>
      <c r="C868" s="55">
        <v>267.16000000000003</v>
      </c>
      <c r="D868" s="54"/>
      <c r="E868" s="54"/>
    </row>
    <row r="869" spans="1:5" ht="15" customHeight="1">
      <c r="A869" s="61" t="s">
        <v>1373</v>
      </c>
      <c r="B869" s="61" t="s">
        <v>1372</v>
      </c>
      <c r="C869" s="55">
        <v>266.17</v>
      </c>
      <c r="D869" s="54"/>
      <c r="E869" s="54"/>
    </row>
    <row r="870" spans="1:5" ht="15" customHeight="1">
      <c r="A870" s="61" t="s">
        <v>1371</v>
      </c>
      <c r="B870" s="61" t="s">
        <v>1370</v>
      </c>
      <c r="C870" s="55">
        <v>71.760000000000005</v>
      </c>
      <c r="D870" s="54"/>
      <c r="E870" s="54"/>
    </row>
    <row r="871" spans="1:5" ht="15" customHeight="1">
      <c r="A871" s="61" t="s">
        <v>1369</v>
      </c>
      <c r="B871" s="61" t="s">
        <v>1368</v>
      </c>
      <c r="C871" s="55">
        <v>273.82</v>
      </c>
      <c r="D871" s="54"/>
      <c r="E871" s="54"/>
    </row>
    <row r="872" spans="1:5" ht="15" customHeight="1">
      <c r="A872" s="61" t="s">
        <v>1367</v>
      </c>
      <c r="B872" s="61" t="s">
        <v>1366</v>
      </c>
      <c r="C872" s="55">
        <v>169.38</v>
      </c>
      <c r="D872" s="54"/>
      <c r="E872" s="54"/>
    </row>
    <row r="873" spans="1:5" ht="15" customHeight="1">
      <c r="A873" s="61" t="s">
        <v>1365</v>
      </c>
      <c r="B873" s="61" t="s">
        <v>1364</v>
      </c>
      <c r="C873" s="55">
        <v>71.8</v>
      </c>
      <c r="D873" s="54"/>
      <c r="E873" s="54"/>
    </row>
    <row r="874" spans="1:5" ht="15" customHeight="1">
      <c r="A874" s="61" t="s">
        <v>1363</v>
      </c>
      <c r="B874" s="61" t="s">
        <v>1362</v>
      </c>
      <c r="C874" s="55">
        <v>12.15</v>
      </c>
      <c r="D874" s="54"/>
      <c r="E874" s="54"/>
    </row>
    <row r="875" spans="1:5" ht="15" customHeight="1">
      <c r="A875" s="61" t="s">
        <v>1361</v>
      </c>
      <c r="B875" s="61" t="s">
        <v>1360</v>
      </c>
      <c r="C875" s="55">
        <v>59.33</v>
      </c>
      <c r="D875" s="54"/>
      <c r="E875" s="54"/>
    </row>
    <row r="876" spans="1:5" ht="15" customHeight="1">
      <c r="A876" s="61" t="s">
        <v>1359</v>
      </c>
      <c r="B876" s="61" t="s">
        <v>1358</v>
      </c>
      <c r="C876" s="55">
        <v>24.55</v>
      </c>
      <c r="D876" s="54"/>
      <c r="E876" s="54"/>
    </row>
    <row r="877" spans="1:5" ht="15" customHeight="1">
      <c r="A877" s="61" t="s">
        <v>1357</v>
      </c>
      <c r="B877" s="61" t="s">
        <v>411</v>
      </c>
      <c r="C877" s="55">
        <v>182.7</v>
      </c>
      <c r="D877" s="54"/>
      <c r="E877" s="54"/>
    </row>
    <row r="878" spans="1:5" ht="15" customHeight="1">
      <c r="A878" s="61" t="s">
        <v>1356</v>
      </c>
      <c r="B878" s="61" t="s">
        <v>1355</v>
      </c>
      <c r="C878" s="55">
        <v>9.4499999999999993</v>
      </c>
      <c r="D878" s="54"/>
      <c r="E878" s="54"/>
    </row>
    <row r="879" spans="1:5" ht="15" customHeight="1">
      <c r="A879" s="61" t="s">
        <v>1354</v>
      </c>
      <c r="B879" s="61" t="s">
        <v>1353</v>
      </c>
      <c r="C879" s="55">
        <v>64.17</v>
      </c>
      <c r="D879" s="54"/>
      <c r="E879" s="54"/>
    </row>
    <row r="880" spans="1:5" ht="15" customHeight="1">
      <c r="A880" s="61" t="s">
        <v>1354</v>
      </c>
      <c r="B880" s="61" t="s">
        <v>1353</v>
      </c>
      <c r="C880" s="55">
        <v>64.17</v>
      </c>
      <c r="D880" s="54"/>
      <c r="E880" s="54"/>
    </row>
    <row r="881" spans="1:5" ht="15" customHeight="1">
      <c r="A881" s="61" t="s">
        <v>1352</v>
      </c>
      <c r="B881" s="61" t="s">
        <v>1351</v>
      </c>
      <c r="C881" s="55">
        <v>194.86</v>
      </c>
      <c r="D881" s="54"/>
      <c r="E881" s="54"/>
    </row>
    <row r="882" spans="1:5" ht="15" customHeight="1">
      <c r="A882" s="61" t="s">
        <v>1350</v>
      </c>
      <c r="B882" s="61" t="s">
        <v>1348</v>
      </c>
      <c r="C882" s="55">
        <v>1.21</v>
      </c>
      <c r="D882" s="54"/>
      <c r="E882" s="54"/>
    </row>
    <row r="883" spans="1:5" ht="15" customHeight="1">
      <c r="A883" s="61" t="s">
        <v>1349</v>
      </c>
      <c r="B883" s="61" t="s">
        <v>1348</v>
      </c>
      <c r="C883" s="55">
        <v>25.79</v>
      </c>
      <c r="D883" s="54"/>
      <c r="E883" s="54"/>
    </row>
    <row r="884" spans="1:5" ht="15" customHeight="1">
      <c r="A884" s="61" t="s">
        <v>1347</v>
      </c>
      <c r="B884" s="61" t="s">
        <v>1345</v>
      </c>
      <c r="C884" s="55">
        <v>25.79</v>
      </c>
      <c r="D884" s="54"/>
      <c r="E884" s="54"/>
    </row>
    <row r="885" spans="1:5" ht="15" customHeight="1">
      <c r="A885" s="61" t="s">
        <v>1346</v>
      </c>
      <c r="B885" s="61" t="s">
        <v>1345</v>
      </c>
      <c r="C885" s="55">
        <v>8.36</v>
      </c>
      <c r="D885" s="54"/>
      <c r="E885" s="54"/>
    </row>
    <row r="886" spans="1:5" ht="15" customHeight="1">
      <c r="A886" s="61" t="s">
        <v>1344</v>
      </c>
      <c r="B886" s="61" t="s">
        <v>1339</v>
      </c>
      <c r="C886" s="55">
        <v>5.4</v>
      </c>
      <c r="D886" s="54"/>
      <c r="E886" s="54"/>
    </row>
    <row r="887" spans="1:5" ht="15" customHeight="1">
      <c r="A887" s="61" t="s">
        <v>1343</v>
      </c>
      <c r="B887" s="61" t="s">
        <v>1339</v>
      </c>
      <c r="C887" s="55">
        <v>5.84</v>
      </c>
      <c r="D887" s="54"/>
      <c r="E887" s="54"/>
    </row>
    <row r="888" spans="1:5" ht="15" customHeight="1">
      <c r="A888" s="61" t="s">
        <v>1342</v>
      </c>
      <c r="B888" s="61" t="s">
        <v>1339</v>
      </c>
      <c r="C888" s="55">
        <v>35.22</v>
      </c>
      <c r="D888" s="54"/>
      <c r="E888" s="54"/>
    </row>
    <row r="889" spans="1:5" ht="15" customHeight="1">
      <c r="A889" s="61" t="s">
        <v>1341</v>
      </c>
      <c r="B889" s="61" t="s">
        <v>1339</v>
      </c>
      <c r="C889" s="55">
        <v>49.78</v>
      </c>
      <c r="D889" s="54"/>
      <c r="E889" s="54"/>
    </row>
    <row r="890" spans="1:5" ht="15" customHeight="1">
      <c r="A890" s="61" t="s">
        <v>1340</v>
      </c>
      <c r="B890" s="61" t="s">
        <v>1339</v>
      </c>
      <c r="C890" s="55">
        <v>41.94</v>
      </c>
      <c r="D890" s="54"/>
      <c r="E890" s="54"/>
    </row>
    <row r="891" spans="1:5" ht="15" customHeight="1">
      <c r="A891" s="61" t="s">
        <v>1338</v>
      </c>
      <c r="B891" s="61" t="s">
        <v>1337</v>
      </c>
      <c r="C891" s="55">
        <v>16.7</v>
      </c>
      <c r="D891" s="54"/>
      <c r="E891" s="54"/>
    </row>
    <row r="892" spans="1:5" ht="15" customHeight="1">
      <c r="A892" s="61" t="s">
        <v>1336</v>
      </c>
      <c r="B892" s="61" t="s">
        <v>1335</v>
      </c>
      <c r="C892" s="55">
        <v>13.32</v>
      </c>
      <c r="D892" s="54"/>
      <c r="E892" s="54"/>
    </row>
    <row r="893" spans="1:5" ht="15" customHeight="1">
      <c r="A893" s="61" t="s">
        <v>1334</v>
      </c>
      <c r="B893" s="61" t="s">
        <v>1333</v>
      </c>
      <c r="C893" s="55">
        <v>16.510000000000002</v>
      </c>
      <c r="D893" s="54"/>
      <c r="E893" s="54"/>
    </row>
    <row r="894" spans="1:5" ht="15" customHeight="1">
      <c r="A894" s="61" t="s">
        <v>1332</v>
      </c>
      <c r="B894" s="61" t="s">
        <v>1331</v>
      </c>
      <c r="C894" s="55">
        <v>113.2</v>
      </c>
      <c r="D894" s="54"/>
      <c r="E894" s="54"/>
    </row>
    <row r="895" spans="1:5" ht="15" customHeight="1">
      <c r="A895" s="61" t="s">
        <v>1330</v>
      </c>
      <c r="B895" s="61" t="s">
        <v>1329</v>
      </c>
      <c r="C895" s="55">
        <v>108.41</v>
      </c>
      <c r="D895" s="54"/>
      <c r="E895" s="54"/>
    </row>
    <row r="896" spans="1:5" ht="15" customHeight="1">
      <c r="A896" s="61" t="s">
        <v>1328</v>
      </c>
      <c r="B896" s="61" t="s">
        <v>1327</v>
      </c>
      <c r="C896" s="55">
        <v>793.98</v>
      </c>
      <c r="D896" s="54"/>
      <c r="E896" s="54"/>
    </row>
    <row r="897" spans="1:5" ht="15" customHeight="1">
      <c r="A897" s="61" t="s">
        <v>1326</v>
      </c>
      <c r="B897" s="61" t="s">
        <v>1325</v>
      </c>
      <c r="C897" s="55">
        <v>349.47</v>
      </c>
      <c r="D897" s="54"/>
      <c r="E897" s="54"/>
    </row>
    <row r="898" spans="1:5" ht="15" customHeight="1">
      <c r="A898" s="61" t="s">
        <v>1324</v>
      </c>
      <c r="B898" s="61" t="s">
        <v>1323</v>
      </c>
      <c r="C898" s="55">
        <v>38.92</v>
      </c>
      <c r="D898" s="54"/>
      <c r="E898" s="54"/>
    </row>
    <row r="899" spans="1:5" ht="15" customHeight="1">
      <c r="A899" s="61" t="s">
        <v>1322</v>
      </c>
      <c r="B899" s="61" t="s">
        <v>1321</v>
      </c>
      <c r="C899" s="55">
        <v>126.25</v>
      </c>
      <c r="D899" s="54"/>
      <c r="E899" s="54"/>
    </row>
    <row r="900" spans="1:5" ht="15" customHeight="1">
      <c r="A900" s="61" t="s">
        <v>1320</v>
      </c>
      <c r="B900" s="61" t="s">
        <v>1319</v>
      </c>
      <c r="C900" s="55">
        <v>158.4</v>
      </c>
      <c r="D900" s="54"/>
      <c r="E900" s="54"/>
    </row>
    <row r="901" spans="1:5" ht="15" customHeight="1">
      <c r="A901" s="61" t="s">
        <v>1318</v>
      </c>
      <c r="B901" s="61" t="s">
        <v>1317</v>
      </c>
      <c r="C901" s="55">
        <v>177.6</v>
      </c>
      <c r="D901" s="54"/>
      <c r="E901" s="54"/>
    </row>
    <row r="902" spans="1:5" ht="15" customHeight="1">
      <c r="A902" s="61" t="s">
        <v>1316</v>
      </c>
      <c r="B902" s="61" t="s">
        <v>1315</v>
      </c>
      <c r="C902" s="55">
        <v>1103.6300000000001</v>
      </c>
      <c r="D902" s="54"/>
      <c r="E902" s="54"/>
    </row>
    <row r="903" spans="1:5" ht="15" customHeight="1">
      <c r="A903" s="61" t="s">
        <v>1314</v>
      </c>
      <c r="B903" s="61" t="s">
        <v>1313</v>
      </c>
      <c r="C903" s="55">
        <v>1608.64</v>
      </c>
      <c r="D903" s="54"/>
      <c r="E903" s="54"/>
    </row>
    <row r="904" spans="1:5" ht="15" customHeight="1">
      <c r="A904" s="61" t="s">
        <v>1312</v>
      </c>
      <c r="B904" s="61" t="s">
        <v>1311</v>
      </c>
      <c r="C904" s="55">
        <v>447.36</v>
      </c>
      <c r="D904" s="54"/>
      <c r="E904" s="54"/>
    </row>
    <row r="905" spans="1:5" ht="15" customHeight="1">
      <c r="A905" s="61" t="s">
        <v>1310</v>
      </c>
      <c r="B905" s="61" t="s">
        <v>1309</v>
      </c>
      <c r="C905" s="55">
        <v>1279</v>
      </c>
      <c r="D905" s="54"/>
      <c r="E905" s="54"/>
    </row>
    <row r="906" spans="1:5" ht="15" customHeight="1">
      <c r="A906" s="61" t="s">
        <v>1308</v>
      </c>
      <c r="B906" s="61" t="s">
        <v>1306</v>
      </c>
      <c r="C906" s="55">
        <v>21.36</v>
      </c>
      <c r="D906" s="54"/>
      <c r="E906" s="54"/>
    </row>
    <row r="907" spans="1:5" ht="15" customHeight="1">
      <c r="A907" s="61" t="s">
        <v>1307</v>
      </c>
      <c r="B907" s="61" t="s">
        <v>1306</v>
      </c>
      <c r="C907" s="55">
        <v>21.36</v>
      </c>
      <c r="D907" s="54"/>
      <c r="E907" s="54"/>
    </row>
    <row r="908" spans="1:5" ht="15" customHeight="1">
      <c r="A908" s="61" t="s">
        <v>1305</v>
      </c>
      <c r="B908" s="61" t="s">
        <v>1304</v>
      </c>
      <c r="C908" s="55">
        <v>186</v>
      </c>
      <c r="D908" s="54"/>
      <c r="E908" s="54"/>
    </row>
    <row r="909" spans="1:5" ht="15" customHeight="1">
      <c r="A909" s="61" t="s">
        <v>1303</v>
      </c>
      <c r="B909" s="61" t="s">
        <v>1302</v>
      </c>
      <c r="C909" s="55">
        <v>614.98</v>
      </c>
      <c r="D909" s="54"/>
      <c r="E909" s="54"/>
    </row>
    <row r="910" spans="1:5" ht="15" customHeight="1">
      <c r="A910" s="61" t="s">
        <v>1301</v>
      </c>
      <c r="B910" s="61" t="s">
        <v>1300</v>
      </c>
      <c r="C910" s="55">
        <v>702.13</v>
      </c>
      <c r="D910" s="54"/>
      <c r="E910" s="54"/>
    </row>
    <row r="911" spans="1:5" ht="15" customHeight="1">
      <c r="A911" s="61" t="s">
        <v>1299</v>
      </c>
      <c r="B911" s="61" t="s">
        <v>1298</v>
      </c>
      <c r="C911" s="55">
        <v>1146.3800000000001</v>
      </c>
      <c r="D911" s="54"/>
      <c r="E911" s="54"/>
    </row>
    <row r="912" spans="1:5" ht="15" customHeight="1">
      <c r="A912" s="61" t="s">
        <v>1297</v>
      </c>
      <c r="B912" s="61" t="s">
        <v>1296</v>
      </c>
      <c r="C912" s="55">
        <v>81.97</v>
      </c>
      <c r="D912" s="54"/>
      <c r="E912" s="54"/>
    </row>
    <row r="913" spans="1:5" ht="15" customHeight="1">
      <c r="A913" s="61" t="s">
        <v>1295</v>
      </c>
      <c r="B913" s="61" t="s">
        <v>1294</v>
      </c>
      <c r="C913" s="55">
        <v>186.24</v>
      </c>
      <c r="D913" s="54"/>
      <c r="E913" s="54"/>
    </row>
    <row r="914" spans="1:5" ht="15" customHeight="1">
      <c r="A914" s="61" t="s">
        <v>1293</v>
      </c>
      <c r="B914" s="61" t="s">
        <v>1292</v>
      </c>
      <c r="C914" s="55">
        <v>170.57</v>
      </c>
      <c r="D914" s="54"/>
      <c r="E914" s="54"/>
    </row>
    <row r="915" spans="1:5" ht="15" customHeight="1">
      <c r="A915" s="61" t="s">
        <v>1291</v>
      </c>
      <c r="B915" s="61" t="s">
        <v>1290</v>
      </c>
      <c r="C915" s="55">
        <v>90</v>
      </c>
      <c r="D915" s="54"/>
      <c r="E915" s="54"/>
    </row>
    <row r="916" spans="1:5" ht="15" customHeight="1">
      <c r="A916" s="61" t="s">
        <v>1289</v>
      </c>
      <c r="B916" s="61" t="s">
        <v>1288</v>
      </c>
      <c r="C916" s="55">
        <v>6</v>
      </c>
      <c r="D916" s="54"/>
      <c r="E916" s="54"/>
    </row>
    <row r="917" spans="1:5" ht="15" customHeight="1">
      <c r="A917" s="61" t="s">
        <v>1287</v>
      </c>
      <c r="B917" s="61" t="s">
        <v>1286</v>
      </c>
      <c r="C917" s="55">
        <v>13.96</v>
      </c>
      <c r="D917" s="54"/>
      <c r="E917" s="54"/>
    </row>
    <row r="918" spans="1:5" ht="15" customHeight="1">
      <c r="A918" s="61" t="s">
        <v>1285</v>
      </c>
      <c r="B918" s="61" t="s">
        <v>1284</v>
      </c>
      <c r="C918" s="55">
        <v>54</v>
      </c>
      <c r="D918" s="54"/>
      <c r="E918" s="54"/>
    </row>
    <row r="919" spans="1:5" ht="15" customHeight="1">
      <c r="A919" s="61" t="s">
        <v>1283</v>
      </c>
      <c r="B919" s="61" t="s">
        <v>1282</v>
      </c>
      <c r="C919" s="55">
        <v>70.02</v>
      </c>
      <c r="D919" s="54"/>
      <c r="E919" s="54"/>
    </row>
    <row r="920" spans="1:5" ht="15" customHeight="1">
      <c r="A920" s="61" t="s">
        <v>1281</v>
      </c>
      <c r="B920" s="61" t="s">
        <v>1280</v>
      </c>
      <c r="C920" s="55">
        <v>40.090000000000003</v>
      </c>
      <c r="D920" s="54"/>
      <c r="E920" s="54"/>
    </row>
    <row r="921" spans="1:5" ht="15" customHeight="1">
      <c r="A921" s="61" t="s">
        <v>1279</v>
      </c>
      <c r="B921" s="61" t="s">
        <v>1278</v>
      </c>
      <c r="C921" s="55">
        <v>69.84</v>
      </c>
      <c r="D921" s="54"/>
      <c r="E921" s="54"/>
    </row>
    <row r="922" spans="1:5" ht="15" customHeight="1">
      <c r="A922" s="61" t="s">
        <v>1277</v>
      </c>
      <c r="B922" s="61" t="s">
        <v>1276</v>
      </c>
      <c r="C922" s="55">
        <v>56.7</v>
      </c>
      <c r="D922" s="54"/>
      <c r="E922" s="54"/>
    </row>
    <row r="923" spans="1:5" ht="15" customHeight="1">
      <c r="A923" s="61" t="s">
        <v>1275</v>
      </c>
      <c r="B923" s="61" t="s">
        <v>1274</v>
      </c>
      <c r="C923" s="55">
        <v>16.010000000000002</v>
      </c>
      <c r="D923" s="54"/>
      <c r="E923" s="54"/>
    </row>
    <row r="924" spans="1:5" ht="15" customHeight="1">
      <c r="A924" s="61" t="s">
        <v>1273</v>
      </c>
      <c r="B924" s="61" t="s">
        <v>1272</v>
      </c>
      <c r="C924" s="55">
        <v>5</v>
      </c>
      <c r="D924" s="54"/>
      <c r="E924" s="54"/>
    </row>
    <row r="925" spans="1:5" ht="15" customHeight="1">
      <c r="A925" s="61" t="s">
        <v>1271</v>
      </c>
      <c r="B925" s="61" t="s">
        <v>1270</v>
      </c>
      <c r="C925" s="55">
        <v>34.130000000000003</v>
      </c>
      <c r="D925" s="54"/>
      <c r="E925" s="54"/>
    </row>
    <row r="926" spans="1:5" ht="15" customHeight="1">
      <c r="A926" s="61" t="s">
        <v>1269</v>
      </c>
      <c r="B926" s="61" t="s">
        <v>1268</v>
      </c>
      <c r="C926" s="55">
        <v>23.47</v>
      </c>
      <c r="D926" s="54"/>
      <c r="E926" s="54"/>
    </row>
    <row r="927" spans="1:5" ht="15" customHeight="1">
      <c r="A927" s="61" t="s">
        <v>1267</v>
      </c>
      <c r="B927" s="61" t="s">
        <v>1266</v>
      </c>
      <c r="C927" s="55">
        <v>39.32</v>
      </c>
      <c r="D927" s="54"/>
      <c r="E927" s="54"/>
    </row>
    <row r="928" spans="1:5" ht="15" customHeight="1">
      <c r="A928" s="61" t="s">
        <v>1265</v>
      </c>
      <c r="B928" s="61" t="s">
        <v>1264</v>
      </c>
      <c r="C928" s="55">
        <v>44.14</v>
      </c>
      <c r="D928" s="54"/>
      <c r="E928" s="54"/>
    </row>
    <row r="929" spans="1:5" ht="15" customHeight="1">
      <c r="A929" s="61" t="s">
        <v>1263</v>
      </c>
      <c r="B929" s="61" t="s">
        <v>1262</v>
      </c>
      <c r="C929" s="55">
        <v>32.51</v>
      </c>
      <c r="D929" s="54"/>
      <c r="E929" s="54"/>
    </row>
    <row r="930" spans="1:5" ht="15" customHeight="1">
      <c r="A930" s="61" t="s">
        <v>1261</v>
      </c>
      <c r="B930" s="61" t="s">
        <v>1260</v>
      </c>
      <c r="C930" s="55">
        <v>6.31</v>
      </c>
      <c r="D930" s="54"/>
      <c r="E930" s="54"/>
    </row>
    <row r="931" spans="1:5" ht="15" customHeight="1">
      <c r="A931" s="61" t="s">
        <v>1259</v>
      </c>
      <c r="B931" s="61" t="s">
        <v>1258</v>
      </c>
      <c r="C931" s="55">
        <v>3.55</v>
      </c>
      <c r="D931" s="54"/>
      <c r="E931" s="54"/>
    </row>
    <row r="932" spans="1:5" ht="15" customHeight="1">
      <c r="A932" s="61" t="s">
        <v>1257</v>
      </c>
      <c r="B932" s="61" t="s">
        <v>283</v>
      </c>
      <c r="C932" s="55">
        <v>97.2</v>
      </c>
      <c r="D932" s="54"/>
      <c r="E932" s="54"/>
    </row>
    <row r="933" spans="1:5" ht="15" customHeight="1">
      <c r="A933" s="61" t="s">
        <v>1256</v>
      </c>
      <c r="B933" s="61" t="s">
        <v>1255</v>
      </c>
      <c r="C933" s="55">
        <v>87.82</v>
      </c>
      <c r="D933" s="54"/>
      <c r="E933" s="54"/>
    </row>
    <row r="934" spans="1:5" ht="15" customHeight="1">
      <c r="A934" s="61" t="s">
        <v>1254</v>
      </c>
      <c r="B934" s="61" t="s">
        <v>1253</v>
      </c>
      <c r="C934" s="55">
        <v>85.32</v>
      </c>
      <c r="D934" s="54"/>
      <c r="E934" s="54"/>
    </row>
    <row r="935" spans="1:5" ht="15" customHeight="1">
      <c r="A935" s="61" t="s">
        <v>1252</v>
      </c>
      <c r="B935" s="61" t="s">
        <v>1251</v>
      </c>
      <c r="C935" s="55">
        <v>74.16</v>
      </c>
      <c r="D935" s="54"/>
      <c r="E935" s="54"/>
    </row>
    <row r="936" spans="1:5" ht="15" customHeight="1">
      <c r="A936" s="61" t="s">
        <v>1250</v>
      </c>
      <c r="B936" s="61" t="s">
        <v>1249</v>
      </c>
      <c r="C936" s="55">
        <v>44.12</v>
      </c>
      <c r="D936" s="54"/>
      <c r="E936" s="54"/>
    </row>
    <row r="937" spans="1:5" ht="15" customHeight="1">
      <c r="A937" s="61" t="s">
        <v>1248</v>
      </c>
      <c r="B937" s="61" t="s">
        <v>1247</v>
      </c>
      <c r="C937" s="55">
        <v>110.45</v>
      </c>
      <c r="D937" s="54"/>
      <c r="E937" s="54"/>
    </row>
    <row r="938" spans="1:5" ht="15" customHeight="1">
      <c r="A938" s="61" t="s">
        <v>1246</v>
      </c>
      <c r="B938" s="61" t="s">
        <v>1245</v>
      </c>
      <c r="C938" s="55">
        <v>98.64</v>
      </c>
      <c r="D938" s="54"/>
      <c r="E938" s="54"/>
    </row>
    <row r="939" spans="1:5" ht="15" customHeight="1">
      <c r="A939" s="61" t="s">
        <v>1244</v>
      </c>
      <c r="B939" s="61" t="s">
        <v>1243</v>
      </c>
      <c r="C939" s="55">
        <v>289.45</v>
      </c>
      <c r="D939" s="54"/>
      <c r="E939" s="54"/>
    </row>
    <row r="940" spans="1:5" ht="15" customHeight="1">
      <c r="A940" s="61" t="s">
        <v>1242</v>
      </c>
      <c r="B940" s="61" t="s">
        <v>1241</v>
      </c>
      <c r="C940" s="55">
        <v>354.93</v>
      </c>
      <c r="D940" s="54"/>
      <c r="E940" s="54"/>
    </row>
    <row r="941" spans="1:5" ht="15" customHeight="1">
      <c r="A941" s="61" t="s">
        <v>1240</v>
      </c>
      <c r="B941" s="61" t="s">
        <v>1239</v>
      </c>
      <c r="C941" s="55">
        <v>155.53</v>
      </c>
      <c r="D941" s="54"/>
      <c r="E941" s="54"/>
    </row>
    <row r="942" spans="1:5" ht="15" customHeight="1">
      <c r="A942" s="61" t="s">
        <v>1238</v>
      </c>
      <c r="B942" s="61" t="s">
        <v>1237</v>
      </c>
      <c r="C942" s="55">
        <v>29.45</v>
      </c>
      <c r="D942" s="54"/>
      <c r="E942" s="54"/>
    </row>
    <row r="943" spans="1:5" ht="15" customHeight="1">
      <c r="A943" s="61" t="s">
        <v>1236</v>
      </c>
      <c r="B943" s="61" t="s">
        <v>1235</v>
      </c>
      <c r="C943" s="55">
        <v>374.4</v>
      </c>
      <c r="D943" s="54"/>
      <c r="E943" s="54"/>
    </row>
    <row r="944" spans="1:5" ht="15" customHeight="1">
      <c r="A944" s="61" t="s">
        <v>1234</v>
      </c>
      <c r="B944" s="61" t="s">
        <v>1233</v>
      </c>
      <c r="C944" s="55">
        <v>368.4</v>
      </c>
      <c r="D944" s="54"/>
      <c r="E944" s="54"/>
    </row>
    <row r="945" spans="1:5" ht="15" customHeight="1">
      <c r="A945" s="61" t="s">
        <v>1232</v>
      </c>
      <c r="B945" s="61" t="s">
        <v>1231</v>
      </c>
      <c r="C945" s="55">
        <v>949.01</v>
      </c>
      <c r="D945" s="54"/>
      <c r="E945" s="54"/>
    </row>
    <row r="946" spans="1:5" ht="15" customHeight="1">
      <c r="A946" s="61" t="s">
        <v>1230</v>
      </c>
      <c r="B946" s="61" t="s">
        <v>1229</v>
      </c>
      <c r="C946" s="55">
        <v>943.22</v>
      </c>
      <c r="D946" s="54"/>
      <c r="E946" s="54"/>
    </row>
    <row r="947" spans="1:5" ht="15" customHeight="1">
      <c r="A947" s="61" t="s">
        <v>1228</v>
      </c>
      <c r="B947" s="61" t="s">
        <v>1227</v>
      </c>
      <c r="C947" s="55">
        <v>21.92</v>
      </c>
      <c r="D947" s="54"/>
      <c r="E947" s="54"/>
    </row>
    <row r="948" spans="1:5" ht="15" customHeight="1">
      <c r="A948" s="61" t="s">
        <v>1226</v>
      </c>
      <c r="B948" s="61" t="s">
        <v>1225</v>
      </c>
      <c r="C948" s="55">
        <v>19.97</v>
      </c>
      <c r="D948" s="54"/>
      <c r="E948" s="54"/>
    </row>
    <row r="949" spans="1:5" ht="15" customHeight="1">
      <c r="A949" s="61" t="s">
        <v>1224</v>
      </c>
      <c r="B949" s="61" t="s">
        <v>1223</v>
      </c>
      <c r="C949" s="55">
        <v>32</v>
      </c>
      <c r="D949" s="54"/>
      <c r="E949" s="54"/>
    </row>
    <row r="950" spans="1:5" ht="15" customHeight="1">
      <c r="A950" s="61" t="s">
        <v>1222</v>
      </c>
      <c r="B950" s="61" t="s">
        <v>1221</v>
      </c>
      <c r="C950" s="55">
        <v>29.05</v>
      </c>
      <c r="D950" s="54"/>
      <c r="E950" s="54"/>
    </row>
    <row r="951" spans="1:5" ht="15" customHeight="1">
      <c r="A951" s="61" t="s">
        <v>1220</v>
      </c>
      <c r="B951" s="61" t="s">
        <v>1219</v>
      </c>
      <c r="C951" s="55">
        <v>48.33</v>
      </c>
      <c r="D951" s="54"/>
      <c r="E951" s="54"/>
    </row>
    <row r="952" spans="1:5" ht="15" customHeight="1">
      <c r="A952" s="61" t="s">
        <v>1218</v>
      </c>
      <c r="B952" s="61" t="s">
        <v>1217</v>
      </c>
      <c r="C952" s="55">
        <v>34.75</v>
      </c>
      <c r="D952" s="54"/>
      <c r="E952" s="54"/>
    </row>
    <row r="953" spans="1:5" ht="15" customHeight="1">
      <c r="A953" s="61" t="s">
        <v>1216</v>
      </c>
      <c r="B953" s="61" t="s">
        <v>1215</v>
      </c>
      <c r="C953" s="55">
        <v>145.74</v>
      </c>
      <c r="D953" s="54"/>
      <c r="E953" s="54"/>
    </row>
    <row r="954" spans="1:5" ht="15" customHeight="1">
      <c r="A954" s="61" t="s">
        <v>1214</v>
      </c>
      <c r="B954" s="61" t="s">
        <v>1213</v>
      </c>
      <c r="C954" s="55">
        <v>30</v>
      </c>
      <c r="D954" s="54"/>
      <c r="E954" s="54"/>
    </row>
    <row r="955" spans="1:5" ht="15" customHeight="1">
      <c r="A955" s="61" t="s">
        <v>1212</v>
      </c>
      <c r="B955" s="61" t="s">
        <v>1211</v>
      </c>
      <c r="C955" s="55">
        <v>328.03</v>
      </c>
      <c r="D955" s="54"/>
      <c r="E955" s="54"/>
    </row>
    <row r="956" spans="1:5" ht="15" customHeight="1">
      <c r="A956" s="61" t="s">
        <v>1210</v>
      </c>
      <c r="B956" s="61" t="s">
        <v>614</v>
      </c>
      <c r="C956" s="55">
        <v>14.53</v>
      </c>
      <c r="D956" s="54"/>
      <c r="E956" s="54"/>
    </row>
    <row r="957" spans="1:5" ht="15" customHeight="1">
      <c r="A957" s="61" t="s">
        <v>1209</v>
      </c>
      <c r="B957" s="61" t="s">
        <v>1208</v>
      </c>
      <c r="C957" s="55">
        <v>6.76</v>
      </c>
      <c r="D957" s="54"/>
      <c r="E957" s="54"/>
    </row>
    <row r="958" spans="1:5" ht="15" customHeight="1">
      <c r="A958" s="61" t="s">
        <v>1207</v>
      </c>
      <c r="B958" s="61" t="s">
        <v>1206</v>
      </c>
      <c r="C958" s="55">
        <v>2.93</v>
      </c>
      <c r="D958" s="54"/>
      <c r="E958" s="54"/>
    </row>
    <row r="959" spans="1:5" ht="15" customHeight="1">
      <c r="A959" s="61" t="s">
        <v>1205</v>
      </c>
      <c r="B959" s="61" t="s">
        <v>1204</v>
      </c>
      <c r="C959" s="55">
        <v>13.06</v>
      </c>
      <c r="D959" s="54"/>
      <c r="E959" s="54"/>
    </row>
    <row r="960" spans="1:5" ht="15" customHeight="1">
      <c r="A960" s="61" t="s">
        <v>1203</v>
      </c>
      <c r="B960" s="61" t="s">
        <v>1202</v>
      </c>
      <c r="C960" s="55">
        <v>22.4</v>
      </c>
      <c r="D960" s="54"/>
      <c r="E960" s="54"/>
    </row>
    <row r="961" spans="1:5" ht="15" customHeight="1">
      <c r="A961" s="61" t="s">
        <v>1201</v>
      </c>
      <c r="B961" s="61" t="s">
        <v>1200</v>
      </c>
      <c r="C961" s="55">
        <v>10.8</v>
      </c>
      <c r="D961" s="54"/>
      <c r="E961" s="54"/>
    </row>
    <row r="962" spans="1:5" ht="15" customHeight="1">
      <c r="A962" s="61" t="s">
        <v>1199</v>
      </c>
      <c r="B962" s="61" t="s">
        <v>1198</v>
      </c>
      <c r="C962" s="55">
        <v>72.41</v>
      </c>
      <c r="D962" s="54"/>
      <c r="E962" s="54"/>
    </row>
    <row r="963" spans="1:5" ht="15" customHeight="1">
      <c r="A963" s="61" t="s">
        <v>1197</v>
      </c>
      <c r="B963" s="61" t="s">
        <v>1196</v>
      </c>
      <c r="C963" s="55">
        <v>29.26</v>
      </c>
      <c r="D963" s="54"/>
      <c r="E963" s="54"/>
    </row>
    <row r="964" spans="1:5" ht="15" customHeight="1">
      <c r="A964" s="61" t="s">
        <v>1195</v>
      </c>
      <c r="B964" s="61" t="s">
        <v>1194</v>
      </c>
      <c r="C964" s="55">
        <v>879.44</v>
      </c>
      <c r="D964" s="54"/>
      <c r="E964" s="54"/>
    </row>
    <row r="965" spans="1:5" ht="15" customHeight="1">
      <c r="A965" s="61" t="s">
        <v>1193</v>
      </c>
      <c r="B965" s="61" t="s">
        <v>1192</v>
      </c>
      <c r="C965" s="55">
        <v>898.71</v>
      </c>
      <c r="D965" s="54"/>
      <c r="E965" s="54"/>
    </row>
    <row r="966" spans="1:5" ht="15" customHeight="1">
      <c r="A966" s="61" t="s">
        <v>1191</v>
      </c>
      <c r="B966" s="61" t="s">
        <v>1190</v>
      </c>
      <c r="C966" s="55">
        <v>664.45</v>
      </c>
      <c r="D966" s="54"/>
      <c r="E966" s="54"/>
    </row>
    <row r="967" spans="1:5" ht="15" customHeight="1">
      <c r="A967" s="61" t="s">
        <v>1189</v>
      </c>
      <c r="B967" s="61" t="s">
        <v>1188</v>
      </c>
      <c r="C967" s="55">
        <v>45.05</v>
      </c>
      <c r="D967" s="54"/>
      <c r="E967" s="54"/>
    </row>
    <row r="968" spans="1:5" ht="15" customHeight="1">
      <c r="A968" s="61" t="s">
        <v>1187</v>
      </c>
      <c r="B968" s="61" t="s">
        <v>1186</v>
      </c>
      <c r="C968" s="55">
        <v>216</v>
      </c>
      <c r="D968" s="54"/>
      <c r="E968" s="54"/>
    </row>
    <row r="969" spans="1:5" ht="15" customHeight="1">
      <c r="A969" s="61" t="s">
        <v>1185</v>
      </c>
      <c r="B969" s="61" t="s">
        <v>1184</v>
      </c>
      <c r="C969" s="55">
        <v>36.42</v>
      </c>
      <c r="D969" s="54"/>
      <c r="E969" s="54"/>
    </row>
    <row r="970" spans="1:5" ht="15" customHeight="1">
      <c r="A970" s="61" t="s">
        <v>1183</v>
      </c>
      <c r="B970" s="61" t="s">
        <v>1182</v>
      </c>
      <c r="C970" s="55">
        <v>14.6</v>
      </c>
      <c r="D970" s="54"/>
      <c r="E970" s="54"/>
    </row>
    <row r="971" spans="1:5" ht="15" customHeight="1">
      <c r="A971" s="61" t="s">
        <v>1181</v>
      </c>
      <c r="B971" s="61" t="s">
        <v>1180</v>
      </c>
      <c r="C971" s="55">
        <v>21.8</v>
      </c>
      <c r="D971" s="54"/>
      <c r="E971" s="54"/>
    </row>
    <row r="972" spans="1:5" ht="15" customHeight="1">
      <c r="A972" s="61" t="s">
        <v>1179</v>
      </c>
      <c r="B972" s="61" t="s">
        <v>1178</v>
      </c>
      <c r="C972" s="55">
        <v>155.4</v>
      </c>
      <c r="D972" s="54"/>
      <c r="E972" s="54"/>
    </row>
    <row r="973" spans="1:5" ht="15" customHeight="1">
      <c r="A973" s="61" t="s">
        <v>1177</v>
      </c>
      <c r="B973" s="61" t="s">
        <v>1176</v>
      </c>
      <c r="C973" s="55">
        <v>139.68</v>
      </c>
      <c r="D973" s="54"/>
      <c r="E973" s="54"/>
    </row>
    <row r="974" spans="1:5" ht="15" customHeight="1">
      <c r="A974" s="61" t="s">
        <v>1175</v>
      </c>
      <c r="B974" s="61" t="s">
        <v>1174</v>
      </c>
      <c r="C974" s="55">
        <v>184.03</v>
      </c>
      <c r="D974" s="54"/>
      <c r="E974" s="54"/>
    </row>
    <row r="975" spans="1:5" ht="15" customHeight="1">
      <c r="A975" s="61" t="s">
        <v>1173</v>
      </c>
      <c r="B975" s="61" t="s">
        <v>1172</v>
      </c>
      <c r="C975" s="55">
        <v>167.9</v>
      </c>
      <c r="D975" s="54"/>
      <c r="E975" s="54"/>
    </row>
    <row r="976" spans="1:5" ht="15" customHeight="1">
      <c r="A976" s="61" t="s">
        <v>1171</v>
      </c>
      <c r="B976" s="61" t="s">
        <v>1170</v>
      </c>
      <c r="C976" s="55">
        <v>66.58</v>
      </c>
      <c r="D976" s="54"/>
      <c r="E976" s="54"/>
    </row>
    <row r="977" spans="1:5" ht="15" customHeight="1">
      <c r="A977" s="61" t="s">
        <v>1169</v>
      </c>
      <c r="B977" s="61" t="s">
        <v>1168</v>
      </c>
      <c r="C977" s="55">
        <v>85.18</v>
      </c>
      <c r="D977" s="54"/>
      <c r="E977" s="54"/>
    </row>
    <row r="978" spans="1:5" ht="15" customHeight="1">
      <c r="A978" s="61" t="s">
        <v>1167</v>
      </c>
      <c r="B978" s="61" t="s">
        <v>1166</v>
      </c>
      <c r="C978" s="55">
        <v>61.99</v>
      </c>
      <c r="D978" s="54"/>
      <c r="E978" s="54"/>
    </row>
    <row r="979" spans="1:5" ht="15" customHeight="1">
      <c r="A979" s="61" t="s">
        <v>1165</v>
      </c>
      <c r="B979" s="61" t="s">
        <v>1164</v>
      </c>
      <c r="C979" s="55">
        <v>224.62</v>
      </c>
      <c r="D979" s="54"/>
      <c r="E979" s="54"/>
    </row>
    <row r="980" spans="1:5" ht="15" customHeight="1">
      <c r="A980" s="61" t="s">
        <v>1163</v>
      </c>
      <c r="B980" s="61" t="s">
        <v>1162</v>
      </c>
      <c r="C980" s="55">
        <v>74.180000000000007</v>
      </c>
      <c r="D980" s="54"/>
      <c r="E980" s="54"/>
    </row>
    <row r="981" spans="1:5" ht="15" customHeight="1">
      <c r="A981" s="61" t="s">
        <v>1161</v>
      </c>
      <c r="B981" s="61" t="s">
        <v>1160</v>
      </c>
      <c r="C981" s="55">
        <v>151.46</v>
      </c>
      <c r="D981" s="54"/>
      <c r="E981" s="54"/>
    </row>
    <row r="982" spans="1:5" ht="15" customHeight="1">
      <c r="A982" s="61" t="s">
        <v>1159</v>
      </c>
      <c r="B982" s="61" t="s">
        <v>1158</v>
      </c>
      <c r="C982" s="55">
        <v>34.54</v>
      </c>
      <c r="D982" s="54"/>
      <c r="E982" s="54"/>
    </row>
    <row r="983" spans="1:5" ht="15" customHeight="1">
      <c r="A983" s="61" t="s">
        <v>1157</v>
      </c>
      <c r="B983" s="61" t="s">
        <v>1156</v>
      </c>
      <c r="C983" s="55">
        <v>185.69</v>
      </c>
      <c r="D983" s="54"/>
      <c r="E983" s="54"/>
    </row>
    <row r="984" spans="1:5" ht="15" customHeight="1">
      <c r="A984" s="61" t="s">
        <v>1155</v>
      </c>
      <c r="B984" s="61" t="s">
        <v>1154</v>
      </c>
      <c r="C984" s="55">
        <v>417.86</v>
      </c>
      <c r="D984" s="54"/>
      <c r="E984" s="54"/>
    </row>
    <row r="985" spans="1:5" ht="15" customHeight="1">
      <c r="A985" s="61" t="s">
        <v>1153</v>
      </c>
      <c r="B985" s="61" t="s">
        <v>1152</v>
      </c>
      <c r="C985" s="55">
        <v>67.86</v>
      </c>
      <c r="D985" s="54"/>
      <c r="E985" s="54"/>
    </row>
    <row r="986" spans="1:5" ht="15" customHeight="1">
      <c r="A986" s="61" t="s">
        <v>1151</v>
      </c>
      <c r="B986" s="61" t="s">
        <v>1150</v>
      </c>
      <c r="C986" s="55">
        <v>33.270000000000003</v>
      </c>
      <c r="D986" s="54"/>
      <c r="E986" s="54"/>
    </row>
    <row r="987" spans="1:5" ht="15" customHeight="1">
      <c r="A987" s="61" t="s">
        <v>1149</v>
      </c>
      <c r="B987" s="61" t="s">
        <v>1148</v>
      </c>
      <c r="C987" s="55">
        <v>73.209999999999994</v>
      </c>
      <c r="D987" s="54"/>
      <c r="E987" s="54"/>
    </row>
    <row r="988" spans="1:5" ht="15" customHeight="1">
      <c r="A988" s="61" t="s">
        <v>1147</v>
      </c>
      <c r="B988" s="61" t="s">
        <v>1146</v>
      </c>
      <c r="C988" s="55">
        <v>79.72</v>
      </c>
      <c r="D988" s="54"/>
      <c r="E988" s="54"/>
    </row>
    <row r="989" spans="1:5" ht="15" customHeight="1">
      <c r="A989" s="61" t="s">
        <v>1145</v>
      </c>
      <c r="B989" s="61" t="s">
        <v>1144</v>
      </c>
      <c r="C989" s="55">
        <v>29.39</v>
      </c>
      <c r="D989" s="54"/>
      <c r="E989" s="54"/>
    </row>
    <row r="990" spans="1:5" ht="15" customHeight="1">
      <c r="A990" s="61" t="s">
        <v>1143</v>
      </c>
      <c r="B990" s="61" t="s">
        <v>1142</v>
      </c>
      <c r="C990" s="55">
        <v>103.37</v>
      </c>
      <c r="D990" s="54"/>
      <c r="E990" s="54"/>
    </row>
    <row r="991" spans="1:5" ht="15" customHeight="1">
      <c r="A991" s="61" t="s">
        <v>1141</v>
      </c>
      <c r="B991" s="61" t="s">
        <v>1140</v>
      </c>
      <c r="C991" s="55">
        <v>174.43</v>
      </c>
      <c r="D991" s="54"/>
      <c r="E991" s="54"/>
    </row>
    <row r="992" spans="1:5" ht="15" customHeight="1">
      <c r="A992" s="61" t="s">
        <v>1139</v>
      </c>
      <c r="B992" s="61" t="s">
        <v>1138</v>
      </c>
      <c r="C992" s="55">
        <v>1243.26</v>
      </c>
      <c r="D992" s="54"/>
      <c r="E992" s="54"/>
    </row>
    <row r="993" spans="1:5" ht="15" customHeight="1">
      <c r="A993" s="61" t="s">
        <v>1137</v>
      </c>
      <c r="B993" s="61" t="s">
        <v>1136</v>
      </c>
      <c r="C993" s="55">
        <v>899.95</v>
      </c>
      <c r="D993" s="54"/>
      <c r="E993" s="54"/>
    </row>
    <row r="994" spans="1:5" ht="15" customHeight="1">
      <c r="A994" s="61" t="s">
        <v>1135</v>
      </c>
      <c r="B994" s="61" t="s">
        <v>1134</v>
      </c>
      <c r="C994" s="55">
        <v>179.8</v>
      </c>
      <c r="D994" s="54"/>
      <c r="E994" s="54"/>
    </row>
    <row r="995" spans="1:5" ht="15" customHeight="1">
      <c r="A995" s="61" t="s">
        <v>1133</v>
      </c>
      <c r="B995" s="61" t="s">
        <v>1132</v>
      </c>
      <c r="C995" s="55">
        <v>211.82</v>
      </c>
      <c r="D995" s="54"/>
      <c r="E995" s="54"/>
    </row>
    <row r="996" spans="1:5" ht="15" customHeight="1">
      <c r="A996" s="61" t="s">
        <v>1131</v>
      </c>
      <c r="B996" s="61" t="s">
        <v>1130</v>
      </c>
      <c r="C996" s="55">
        <v>101.72</v>
      </c>
      <c r="D996" s="54"/>
      <c r="E996" s="54"/>
    </row>
    <row r="997" spans="1:5" ht="15" customHeight="1">
      <c r="A997" s="61" t="s">
        <v>1129</v>
      </c>
      <c r="B997" s="61" t="s">
        <v>1128</v>
      </c>
      <c r="C997" s="55">
        <v>148.79</v>
      </c>
      <c r="D997" s="54"/>
      <c r="E997" s="54"/>
    </row>
    <row r="998" spans="1:5" ht="15" customHeight="1">
      <c r="A998" s="61" t="s">
        <v>1127</v>
      </c>
      <c r="B998" s="61" t="s">
        <v>1126</v>
      </c>
      <c r="C998" s="55">
        <v>53.66</v>
      </c>
      <c r="D998" s="54"/>
      <c r="E998" s="54"/>
    </row>
    <row r="999" spans="1:5" ht="15" customHeight="1">
      <c r="A999" s="61" t="s">
        <v>1125</v>
      </c>
      <c r="B999" s="61" t="s">
        <v>1124</v>
      </c>
      <c r="C999" s="55">
        <v>62.93</v>
      </c>
      <c r="D999" s="54"/>
      <c r="E999" s="54"/>
    </row>
    <row r="1000" spans="1:5" ht="15" customHeight="1">
      <c r="A1000" s="61" t="s">
        <v>1123</v>
      </c>
      <c r="B1000" s="61" t="s">
        <v>1122</v>
      </c>
      <c r="C1000" s="55">
        <v>83.91</v>
      </c>
      <c r="D1000" s="54"/>
      <c r="E1000" s="54"/>
    </row>
    <row r="1001" spans="1:5" ht="15" customHeight="1">
      <c r="A1001" s="61" t="s">
        <v>1121</v>
      </c>
      <c r="B1001" s="61" t="s">
        <v>1120</v>
      </c>
      <c r="C1001" s="55">
        <v>43.88</v>
      </c>
      <c r="D1001" s="54"/>
      <c r="E1001" s="54"/>
    </row>
    <row r="1002" spans="1:5" ht="15" customHeight="1">
      <c r="A1002" s="61" t="s">
        <v>1119</v>
      </c>
      <c r="B1002" s="61" t="s">
        <v>1118</v>
      </c>
      <c r="C1002" s="55">
        <v>37.380000000000003</v>
      </c>
      <c r="D1002" s="54"/>
      <c r="E1002" s="54"/>
    </row>
    <row r="1003" spans="1:5" ht="15" customHeight="1">
      <c r="A1003" s="61" t="s">
        <v>1117</v>
      </c>
      <c r="B1003" s="61" t="s">
        <v>1116</v>
      </c>
      <c r="C1003" s="55">
        <v>9.56</v>
      </c>
      <c r="D1003" s="54"/>
      <c r="E1003" s="54"/>
    </row>
    <row r="1004" spans="1:5" ht="15" customHeight="1">
      <c r="A1004" s="61" t="s">
        <v>1115</v>
      </c>
      <c r="B1004" s="61" t="s">
        <v>1114</v>
      </c>
      <c r="C1004" s="55">
        <v>132.30000000000001</v>
      </c>
      <c r="D1004" s="54"/>
      <c r="E1004" s="54"/>
    </row>
    <row r="1005" spans="1:5" ht="15" customHeight="1">
      <c r="A1005" s="61" t="s">
        <v>1113</v>
      </c>
      <c r="B1005" s="61" t="s">
        <v>1112</v>
      </c>
      <c r="C1005" s="55">
        <v>694.73</v>
      </c>
      <c r="D1005" s="54"/>
      <c r="E1005" s="54"/>
    </row>
    <row r="1006" spans="1:5" ht="15" customHeight="1">
      <c r="A1006" s="61" t="s">
        <v>1111</v>
      </c>
      <c r="B1006" s="61" t="s">
        <v>614</v>
      </c>
      <c r="C1006" s="55">
        <v>137.9</v>
      </c>
      <c r="D1006" s="54"/>
      <c r="E1006" s="54"/>
    </row>
    <row r="1007" spans="1:5" ht="15" customHeight="1">
      <c r="A1007" s="61" t="s">
        <v>1110</v>
      </c>
      <c r="B1007" s="61" t="s">
        <v>1109</v>
      </c>
      <c r="C1007" s="55">
        <v>243.57</v>
      </c>
      <c r="D1007" s="54"/>
      <c r="E1007" s="54"/>
    </row>
    <row r="1008" spans="1:5" ht="15" customHeight="1">
      <c r="A1008" s="61" t="s">
        <v>1108</v>
      </c>
      <c r="B1008" s="61" t="s">
        <v>1107</v>
      </c>
      <c r="C1008" s="55">
        <v>109.26</v>
      </c>
      <c r="D1008" s="54"/>
      <c r="E1008" s="54"/>
    </row>
    <row r="1009" spans="1:5" ht="15" customHeight="1">
      <c r="A1009" s="61" t="s">
        <v>1106</v>
      </c>
      <c r="B1009" s="61" t="s">
        <v>1105</v>
      </c>
      <c r="C1009" s="55">
        <v>47.44</v>
      </c>
      <c r="D1009" s="54"/>
      <c r="E1009" s="54"/>
    </row>
    <row r="1010" spans="1:5" ht="15" customHeight="1">
      <c r="A1010" s="61" t="s">
        <v>1104</v>
      </c>
      <c r="B1010" s="61" t="s">
        <v>1103</v>
      </c>
      <c r="C1010" s="55">
        <v>11</v>
      </c>
      <c r="D1010" s="54"/>
      <c r="E1010" s="54"/>
    </row>
    <row r="1011" spans="1:5" ht="15" customHeight="1">
      <c r="A1011" s="61" t="s">
        <v>1102</v>
      </c>
      <c r="B1011" s="61" t="s">
        <v>1101</v>
      </c>
      <c r="C1011" s="55">
        <v>71</v>
      </c>
      <c r="D1011" s="54"/>
      <c r="E1011" s="54"/>
    </row>
    <row r="1012" spans="1:5" ht="15" customHeight="1">
      <c r="A1012" s="61" t="s">
        <v>1100</v>
      </c>
      <c r="B1012" s="61" t="s">
        <v>1099</v>
      </c>
      <c r="C1012" s="55">
        <v>41.68</v>
      </c>
      <c r="D1012" s="54"/>
      <c r="E1012" s="54"/>
    </row>
    <row r="1013" spans="1:5" ht="15" customHeight="1">
      <c r="A1013" s="61" t="s">
        <v>1098</v>
      </c>
      <c r="B1013" s="61" t="s">
        <v>1097</v>
      </c>
      <c r="C1013" s="55">
        <v>14.4</v>
      </c>
      <c r="D1013" s="54"/>
      <c r="E1013" s="54"/>
    </row>
    <row r="1014" spans="1:5" ht="15" customHeight="1">
      <c r="A1014" s="61" t="s">
        <v>1096</v>
      </c>
      <c r="B1014" s="61" t="s">
        <v>1095</v>
      </c>
      <c r="C1014" s="55">
        <v>43.81</v>
      </c>
      <c r="D1014" s="54"/>
      <c r="E1014" s="54"/>
    </row>
    <row r="1015" spans="1:5" ht="15" customHeight="1">
      <c r="A1015" s="61" t="s">
        <v>1094</v>
      </c>
      <c r="B1015" s="61" t="s">
        <v>1093</v>
      </c>
      <c r="C1015" s="55">
        <v>27.82</v>
      </c>
      <c r="D1015" s="54"/>
      <c r="E1015" s="54"/>
    </row>
    <row r="1016" spans="1:5" ht="15" customHeight="1">
      <c r="A1016" s="61" t="s">
        <v>1092</v>
      </c>
      <c r="B1016" s="61" t="s">
        <v>1091</v>
      </c>
      <c r="C1016" s="55">
        <v>2.62</v>
      </c>
      <c r="D1016" s="54"/>
      <c r="E1016" s="54"/>
    </row>
    <row r="1017" spans="1:5" ht="15" customHeight="1">
      <c r="A1017" s="61" t="s">
        <v>1090</v>
      </c>
      <c r="B1017" s="61" t="s">
        <v>1089</v>
      </c>
      <c r="C1017" s="55">
        <v>88.72</v>
      </c>
      <c r="D1017" s="54"/>
      <c r="E1017" s="54"/>
    </row>
    <row r="1018" spans="1:5" ht="15" customHeight="1">
      <c r="A1018" s="61" t="s">
        <v>1088</v>
      </c>
      <c r="B1018" s="61" t="s">
        <v>1087</v>
      </c>
      <c r="C1018" s="55">
        <v>45.88</v>
      </c>
      <c r="D1018" s="54"/>
      <c r="E1018" s="54"/>
    </row>
    <row r="1019" spans="1:5" ht="15" customHeight="1">
      <c r="A1019" s="61" t="s">
        <v>1086</v>
      </c>
      <c r="B1019" s="61" t="s">
        <v>1085</v>
      </c>
      <c r="C1019" s="55">
        <v>43.7</v>
      </c>
      <c r="D1019" s="54"/>
      <c r="E1019" s="54"/>
    </row>
    <row r="1020" spans="1:5" ht="15" customHeight="1">
      <c r="A1020" s="61" t="s">
        <v>1084</v>
      </c>
      <c r="B1020" s="61" t="s">
        <v>1083</v>
      </c>
      <c r="C1020" s="55">
        <v>141.13999999999999</v>
      </c>
      <c r="D1020" s="54"/>
      <c r="E1020" s="54"/>
    </row>
    <row r="1021" spans="1:5" ht="15" customHeight="1">
      <c r="A1021" s="61" t="s">
        <v>1082</v>
      </c>
      <c r="B1021" s="61" t="s">
        <v>1081</v>
      </c>
      <c r="C1021" s="55">
        <v>468.88</v>
      </c>
      <c r="D1021" s="54"/>
      <c r="E1021" s="54"/>
    </row>
    <row r="1022" spans="1:5" ht="15" customHeight="1">
      <c r="A1022" s="61" t="s">
        <v>1080</v>
      </c>
      <c r="B1022" s="61" t="s">
        <v>1079</v>
      </c>
      <c r="C1022" s="55">
        <v>123.22</v>
      </c>
      <c r="D1022" s="54"/>
      <c r="E1022" s="54"/>
    </row>
    <row r="1023" spans="1:5" ht="15" customHeight="1">
      <c r="A1023" s="61" t="s">
        <v>1078</v>
      </c>
      <c r="B1023" s="61" t="s">
        <v>1077</v>
      </c>
      <c r="C1023" s="55">
        <v>602.59</v>
      </c>
      <c r="D1023" s="54"/>
      <c r="E1023" s="54"/>
    </row>
    <row r="1024" spans="1:5" ht="15" customHeight="1">
      <c r="A1024" s="61" t="s">
        <v>1076</v>
      </c>
      <c r="B1024" s="61" t="s">
        <v>1075</v>
      </c>
      <c r="C1024" s="55">
        <v>464.12</v>
      </c>
      <c r="D1024" s="54"/>
      <c r="E1024" s="54"/>
    </row>
    <row r="1025" spans="1:5" ht="15" customHeight="1">
      <c r="A1025" s="61" t="s">
        <v>1074</v>
      </c>
      <c r="B1025" s="61" t="s">
        <v>1073</v>
      </c>
      <c r="C1025" s="55">
        <v>450.33</v>
      </c>
      <c r="D1025" s="54"/>
      <c r="E1025" s="54"/>
    </row>
    <row r="1026" spans="1:5" ht="15" customHeight="1">
      <c r="A1026" s="61" t="s">
        <v>1072</v>
      </c>
      <c r="B1026" s="61" t="s">
        <v>1071</v>
      </c>
      <c r="C1026" s="55">
        <v>6.5</v>
      </c>
      <c r="D1026" s="54"/>
      <c r="E1026" s="54"/>
    </row>
    <row r="1027" spans="1:5" ht="15" customHeight="1">
      <c r="A1027" s="61" t="s">
        <v>1070</v>
      </c>
      <c r="B1027" s="61" t="s">
        <v>1069</v>
      </c>
      <c r="C1027" s="55">
        <v>53.87</v>
      </c>
      <c r="D1027" s="54"/>
      <c r="E1027" s="54"/>
    </row>
    <row r="1028" spans="1:5" ht="15" customHeight="1">
      <c r="A1028" s="61" t="s">
        <v>1068</v>
      </c>
      <c r="B1028" s="61" t="s">
        <v>1067</v>
      </c>
      <c r="C1028" s="55">
        <v>688.16</v>
      </c>
      <c r="D1028" s="54"/>
      <c r="E1028" s="54"/>
    </row>
    <row r="1029" spans="1:5" ht="15" customHeight="1">
      <c r="A1029" s="61" t="s">
        <v>1066</v>
      </c>
      <c r="B1029" s="61" t="s">
        <v>1065</v>
      </c>
      <c r="C1029" s="55">
        <v>481.38</v>
      </c>
      <c r="D1029" s="54"/>
      <c r="E1029" s="54"/>
    </row>
    <row r="1030" spans="1:5" ht="15" customHeight="1">
      <c r="A1030" s="61" t="s">
        <v>1064</v>
      </c>
      <c r="B1030" s="61" t="s">
        <v>1063</v>
      </c>
      <c r="C1030" s="55">
        <v>713.46</v>
      </c>
      <c r="D1030" s="54"/>
      <c r="E1030" s="54"/>
    </row>
    <row r="1031" spans="1:5" ht="15" customHeight="1">
      <c r="A1031" s="61" t="s">
        <v>1062</v>
      </c>
      <c r="B1031" s="61" t="s">
        <v>1061</v>
      </c>
      <c r="C1031" s="55">
        <v>70.22</v>
      </c>
      <c r="D1031" s="54"/>
      <c r="E1031" s="54"/>
    </row>
    <row r="1032" spans="1:5" ht="15" customHeight="1">
      <c r="A1032" s="61" t="s">
        <v>1060</v>
      </c>
      <c r="B1032" s="61" t="s">
        <v>1059</v>
      </c>
      <c r="C1032" s="55">
        <v>90.8</v>
      </c>
      <c r="D1032" s="54"/>
      <c r="E1032" s="54"/>
    </row>
    <row r="1033" spans="1:5" ht="15" customHeight="1">
      <c r="A1033" s="61" t="s">
        <v>1058</v>
      </c>
      <c r="B1033" s="61" t="s">
        <v>1057</v>
      </c>
      <c r="C1033" s="55">
        <v>478.08</v>
      </c>
      <c r="D1033" s="54"/>
      <c r="E1033" s="54"/>
    </row>
    <row r="1034" spans="1:5" ht="15" customHeight="1">
      <c r="A1034" s="61" t="s">
        <v>1056</v>
      </c>
      <c r="B1034" s="61" t="s">
        <v>1055</v>
      </c>
      <c r="C1034" s="55">
        <v>2.7</v>
      </c>
      <c r="D1034" s="54"/>
      <c r="E1034" s="54"/>
    </row>
    <row r="1035" spans="1:5" ht="15" customHeight="1">
      <c r="A1035" s="61" t="s">
        <v>1054</v>
      </c>
      <c r="B1035" s="61" t="s">
        <v>1053</v>
      </c>
      <c r="C1035" s="55">
        <v>3.6</v>
      </c>
      <c r="D1035" s="54"/>
      <c r="E1035" s="54"/>
    </row>
    <row r="1036" spans="1:5" ht="15" customHeight="1">
      <c r="A1036" s="61" t="s">
        <v>1052</v>
      </c>
      <c r="B1036" s="61" t="s">
        <v>1051</v>
      </c>
      <c r="C1036" s="55">
        <v>51.87</v>
      </c>
      <c r="D1036" s="54"/>
      <c r="E1036" s="54"/>
    </row>
    <row r="1037" spans="1:5" ht="15" customHeight="1">
      <c r="A1037" s="61" t="s">
        <v>1050</v>
      </c>
      <c r="B1037" s="61" t="s">
        <v>1049</v>
      </c>
      <c r="C1037" s="55">
        <v>2.52</v>
      </c>
      <c r="D1037" s="54"/>
      <c r="E1037" s="54"/>
    </row>
    <row r="1038" spans="1:5" ht="15" customHeight="1">
      <c r="A1038" s="61" t="s">
        <v>1048</v>
      </c>
      <c r="B1038" s="61" t="s">
        <v>1047</v>
      </c>
      <c r="C1038" s="55">
        <v>1.1200000000000001</v>
      </c>
      <c r="D1038" s="54"/>
      <c r="E1038" s="54"/>
    </row>
    <row r="1039" spans="1:5" ht="15" customHeight="1">
      <c r="A1039" s="61" t="s">
        <v>1046</v>
      </c>
      <c r="B1039" s="61" t="s">
        <v>1045</v>
      </c>
      <c r="C1039" s="55">
        <v>71.099999999999994</v>
      </c>
      <c r="D1039" s="54"/>
      <c r="E1039" s="54"/>
    </row>
    <row r="1040" spans="1:5" ht="15" customHeight="1">
      <c r="A1040" s="61" t="s">
        <v>1044</v>
      </c>
      <c r="B1040" s="61" t="s">
        <v>1043</v>
      </c>
      <c r="C1040" s="55">
        <v>75.599999999999994</v>
      </c>
      <c r="D1040" s="54"/>
      <c r="E1040" s="54"/>
    </row>
    <row r="1041" spans="1:5" ht="15" customHeight="1">
      <c r="A1041" s="61" t="s">
        <v>1042</v>
      </c>
      <c r="B1041" s="61" t="s">
        <v>1041</v>
      </c>
      <c r="C1041" s="55">
        <v>71.099999999999994</v>
      </c>
      <c r="D1041" s="54"/>
      <c r="E1041" s="54"/>
    </row>
    <row r="1042" spans="1:5" ht="15" customHeight="1">
      <c r="A1042" s="61" t="s">
        <v>1040</v>
      </c>
      <c r="B1042" s="61" t="s">
        <v>1039</v>
      </c>
      <c r="C1042" s="55">
        <v>73.260000000000005</v>
      </c>
      <c r="D1042" s="54"/>
      <c r="E1042" s="54"/>
    </row>
    <row r="1043" spans="1:5" ht="15" customHeight="1">
      <c r="A1043" s="61" t="s">
        <v>1038</v>
      </c>
      <c r="B1043" s="61" t="s">
        <v>1037</v>
      </c>
      <c r="C1043" s="55">
        <v>16.7</v>
      </c>
      <c r="D1043" s="54"/>
      <c r="E1043" s="54"/>
    </row>
    <row r="1044" spans="1:5" ht="15" customHeight="1">
      <c r="A1044" s="61" t="s">
        <v>1036</v>
      </c>
      <c r="B1044" s="61" t="s">
        <v>1035</v>
      </c>
      <c r="C1044" s="55">
        <v>47.1</v>
      </c>
      <c r="D1044" s="54"/>
      <c r="E1044" s="54"/>
    </row>
    <row r="1045" spans="1:5" ht="15" customHeight="1">
      <c r="A1045" s="61" t="s">
        <v>1034</v>
      </c>
      <c r="B1045" s="61" t="s">
        <v>1033</v>
      </c>
      <c r="C1045" s="55">
        <v>35.44</v>
      </c>
      <c r="D1045" s="54"/>
      <c r="E1045" s="54"/>
    </row>
    <row r="1046" spans="1:5" ht="15" customHeight="1">
      <c r="A1046" s="61" t="s">
        <v>1032</v>
      </c>
      <c r="B1046" s="61" t="s">
        <v>1031</v>
      </c>
      <c r="C1046" s="55">
        <v>13.44</v>
      </c>
      <c r="D1046" s="54"/>
      <c r="E1046" s="54"/>
    </row>
    <row r="1047" spans="1:5" ht="15" customHeight="1">
      <c r="A1047" s="61" t="s">
        <v>1030</v>
      </c>
      <c r="B1047" s="61" t="s">
        <v>1029</v>
      </c>
      <c r="C1047" s="55">
        <v>35.44</v>
      </c>
      <c r="D1047" s="54"/>
      <c r="E1047" s="54"/>
    </row>
    <row r="1048" spans="1:5" ht="15" customHeight="1">
      <c r="A1048" s="61" t="s">
        <v>1028</v>
      </c>
      <c r="B1048" s="61" t="s">
        <v>1027</v>
      </c>
      <c r="C1048" s="55">
        <v>129.6</v>
      </c>
      <c r="D1048" s="54"/>
      <c r="E1048" s="54"/>
    </row>
    <row r="1049" spans="1:5" ht="15" customHeight="1">
      <c r="A1049" s="61" t="s">
        <v>1026</v>
      </c>
      <c r="B1049" s="61" t="s">
        <v>1025</v>
      </c>
      <c r="C1049" s="55">
        <v>77.88</v>
      </c>
      <c r="D1049" s="54"/>
      <c r="E1049" s="54"/>
    </row>
    <row r="1050" spans="1:5" ht="15" customHeight="1">
      <c r="A1050" s="61" t="s">
        <v>1024</v>
      </c>
      <c r="B1050" s="61" t="s">
        <v>1023</v>
      </c>
      <c r="C1050" s="55">
        <v>144.9</v>
      </c>
      <c r="D1050" s="54"/>
      <c r="E1050" s="54"/>
    </row>
    <row r="1051" spans="1:5" ht="15" customHeight="1">
      <c r="A1051" s="61" t="s">
        <v>1022</v>
      </c>
      <c r="B1051" s="61" t="s">
        <v>1021</v>
      </c>
      <c r="C1051" s="55">
        <v>45.38</v>
      </c>
      <c r="D1051" s="54"/>
      <c r="E1051" s="54"/>
    </row>
    <row r="1052" spans="1:5" ht="15" customHeight="1">
      <c r="A1052" s="61" t="s">
        <v>1020</v>
      </c>
      <c r="B1052" s="61" t="s">
        <v>1019</v>
      </c>
      <c r="C1052" s="55">
        <v>74.2</v>
      </c>
      <c r="D1052" s="54"/>
      <c r="E1052" s="54"/>
    </row>
    <row r="1053" spans="1:5" ht="15" customHeight="1">
      <c r="A1053" s="61" t="s">
        <v>1018</v>
      </c>
      <c r="B1053" s="61" t="s">
        <v>1017</v>
      </c>
      <c r="C1053" s="55">
        <v>246.98</v>
      </c>
      <c r="D1053" s="54"/>
      <c r="E1053" s="54"/>
    </row>
    <row r="1054" spans="1:5" ht="15" customHeight="1">
      <c r="A1054" s="61" t="s">
        <v>1016</v>
      </c>
      <c r="B1054" s="61" t="s">
        <v>1015</v>
      </c>
      <c r="C1054" s="55">
        <v>40.200000000000003</v>
      </c>
      <c r="D1054" s="54"/>
      <c r="E1054" s="54"/>
    </row>
    <row r="1055" spans="1:5" ht="15" customHeight="1">
      <c r="A1055" s="61" t="s">
        <v>1014</v>
      </c>
      <c r="B1055" s="61" t="s">
        <v>1013</v>
      </c>
      <c r="C1055" s="55">
        <v>8.43</v>
      </c>
      <c r="D1055" s="54"/>
      <c r="E1055" s="54"/>
    </row>
    <row r="1056" spans="1:5" ht="15" customHeight="1">
      <c r="A1056" s="61" t="s">
        <v>1012</v>
      </c>
      <c r="B1056" s="61" t="s">
        <v>1011</v>
      </c>
      <c r="C1056" s="55">
        <v>96.39</v>
      </c>
      <c r="D1056" s="54"/>
      <c r="E1056" s="54"/>
    </row>
    <row r="1057" spans="1:5" ht="15" customHeight="1">
      <c r="A1057" s="61" t="s">
        <v>1010</v>
      </c>
      <c r="B1057" s="61" t="s">
        <v>1009</v>
      </c>
      <c r="C1057" s="55">
        <v>127.36</v>
      </c>
      <c r="D1057" s="54"/>
      <c r="E1057" s="54"/>
    </row>
    <row r="1058" spans="1:5" ht="15" customHeight="1">
      <c r="A1058" s="61" t="s">
        <v>1008</v>
      </c>
      <c r="B1058" s="61" t="s">
        <v>1007</v>
      </c>
      <c r="C1058" s="55">
        <v>138.55000000000001</v>
      </c>
      <c r="D1058" s="54"/>
      <c r="E1058" s="54"/>
    </row>
    <row r="1059" spans="1:5" ht="15" customHeight="1">
      <c r="A1059" s="61" t="s">
        <v>1006</v>
      </c>
      <c r="B1059" s="61" t="s">
        <v>1005</v>
      </c>
      <c r="C1059" s="55">
        <v>124.21</v>
      </c>
      <c r="D1059" s="54"/>
      <c r="E1059" s="54"/>
    </row>
    <row r="1060" spans="1:5" ht="15" customHeight="1">
      <c r="A1060" s="61" t="s">
        <v>1004</v>
      </c>
      <c r="B1060" s="61" t="s">
        <v>1003</v>
      </c>
      <c r="C1060" s="55">
        <v>94.68</v>
      </c>
      <c r="D1060" s="54"/>
      <c r="E1060" s="54"/>
    </row>
    <row r="1061" spans="1:5" ht="15" customHeight="1">
      <c r="A1061" s="61" t="s">
        <v>1002</v>
      </c>
      <c r="B1061" s="61" t="s">
        <v>1001</v>
      </c>
      <c r="C1061" s="55">
        <v>94.68</v>
      </c>
      <c r="D1061" s="54"/>
      <c r="E1061" s="54"/>
    </row>
    <row r="1062" spans="1:5" ht="15" customHeight="1">
      <c r="A1062" s="61" t="s">
        <v>1000</v>
      </c>
      <c r="B1062" s="61" t="s">
        <v>999</v>
      </c>
      <c r="C1062" s="55">
        <v>94.68</v>
      </c>
      <c r="D1062" s="54"/>
      <c r="E1062" s="54"/>
    </row>
    <row r="1063" spans="1:5" ht="15" customHeight="1">
      <c r="A1063" s="61" t="s">
        <v>1000</v>
      </c>
      <c r="B1063" s="61" t="s">
        <v>999</v>
      </c>
      <c r="C1063" s="55">
        <v>94.68</v>
      </c>
      <c r="D1063" s="54"/>
      <c r="E1063" s="54"/>
    </row>
    <row r="1064" spans="1:5" ht="15" customHeight="1">
      <c r="A1064" s="61" t="s">
        <v>998</v>
      </c>
      <c r="B1064" s="61" t="s">
        <v>997</v>
      </c>
      <c r="C1064" s="55">
        <v>134.44</v>
      </c>
      <c r="D1064" s="54"/>
      <c r="E1064" s="54"/>
    </row>
    <row r="1065" spans="1:5" ht="15" customHeight="1">
      <c r="A1065" s="61" t="s">
        <v>996</v>
      </c>
      <c r="B1065" s="61" t="s">
        <v>995</v>
      </c>
      <c r="C1065" s="55">
        <v>323.60000000000002</v>
      </c>
      <c r="D1065" s="54"/>
      <c r="E1065" s="54"/>
    </row>
    <row r="1066" spans="1:5" ht="15" customHeight="1">
      <c r="A1066" s="61" t="s">
        <v>994</v>
      </c>
      <c r="B1066" s="61" t="s">
        <v>993</v>
      </c>
      <c r="C1066" s="55">
        <v>184.52</v>
      </c>
      <c r="D1066" s="54"/>
      <c r="E1066" s="54"/>
    </row>
    <row r="1067" spans="1:5" ht="15" customHeight="1">
      <c r="A1067" s="61" t="s">
        <v>992</v>
      </c>
      <c r="B1067" s="61" t="s">
        <v>991</v>
      </c>
      <c r="C1067" s="55">
        <v>184.51</v>
      </c>
      <c r="D1067" s="54"/>
      <c r="E1067" s="54"/>
    </row>
    <row r="1068" spans="1:5" ht="15" customHeight="1">
      <c r="A1068" s="61" t="s">
        <v>990</v>
      </c>
      <c r="B1068" s="61" t="s">
        <v>988</v>
      </c>
      <c r="C1068" s="55">
        <v>23.7</v>
      </c>
      <c r="D1068" s="54"/>
      <c r="E1068" s="54"/>
    </row>
    <row r="1069" spans="1:5" ht="15" customHeight="1">
      <c r="A1069" s="61" t="s">
        <v>989</v>
      </c>
      <c r="B1069" s="61" t="s">
        <v>988</v>
      </c>
      <c r="C1069" s="55">
        <v>13.78</v>
      </c>
      <c r="D1069" s="54"/>
      <c r="E1069" s="54"/>
    </row>
    <row r="1070" spans="1:5" ht="15" customHeight="1">
      <c r="A1070" s="61" t="s">
        <v>987</v>
      </c>
      <c r="B1070" s="61" t="s">
        <v>986</v>
      </c>
      <c r="C1070" s="55">
        <v>72.36</v>
      </c>
      <c r="D1070" s="54"/>
      <c r="E1070" s="54"/>
    </row>
    <row r="1071" spans="1:5" ht="15" customHeight="1">
      <c r="A1071" s="61" t="s">
        <v>985</v>
      </c>
      <c r="B1071" s="61" t="s">
        <v>984</v>
      </c>
      <c r="C1071" s="55">
        <v>441.84</v>
      </c>
      <c r="D1071" s="54"/>
      <c r="E1071" s="54"/>
    </row>
    <row r="1072" spans="1:5" ht="15" customHeight="1">
      <c r="A1072" s="61" t="s">
        <v>983</v>
      </c>
      <c r="B1072" s="61" t="s">
        <v>982</v>
      </c>
      <c r="C1072" s="55">
        <v>97.01</v>
      </c>
      <c r="D1072" s="54"/>
      <c r="E1072" s="54"/>
    </row>
    <row r="1073" spans="1:5" ht="15" customHeight="1">
      <c r="A1073" s="61" t="s">
        <v>981</v>
      </c>
      <c r="B1073" s="61" t="s">
        <v>980</v>
      </c>
      <c r="C1073" s="55">
        <v>34.78</v>
      </c>
      <c r="D1073" s="54"/>
      <c r="E1073" s="54"/>
    </row>
    <row r="1074" spans="1:5" ht="15" customHeight="1">
      <c r="A1074" s="61" t="s">
        <v>979</v>
      </c>
      <c r="B1074" s="61" t="s">
        <v>978</v>
      </c>
      <c r="C1074" s="55">
        <v>41.41</v>
      </c>
      <c r="D1074" s="54"/>
      <c r="E1074" s="54"/>
    </row>
    <row r="1075" spans="1:5" ht="15" customHeight="1">
      <c r="A1075" s="61" t="s">
        <v>977</v>
      </c>
      <c r="B1075" s="61" t="s">
        <v>976</v>
      </c>
      <c r="C1075" s="55">
        <v>12.3</v>
      </c>
      <c r="D1075" s="54"/>
      <c r="E1075" s="54"/>
    </row>
    <row r="1076" spans="1:5" ht="15" customHeight="1">
      <c r="A1076" s="61" t="s">
        <v>975</v>
      </c>
      <c r="B1076" s="61" t="s">
        <v>974</v>
      </c>
      <c r="C1076" s="55">
        <v>138.57</v>
      </c>
      <c r="D1076" s="54"/>
      <c r="E1076" s="54"/>
    </row>
    <row r="1077" spans="1:5" ht="15" customHeight="1">
      <c r="A1077" s="61" t="s">
        <v>973</v>
      </c>
      <c r="B1077" s="61" t="s">
        <v>971</v>
      </c>
      <c r="C1077" s="55">
        <v>58.25</v>
      </c>
      <c r="D1077" s="54"/>
      <c r="E1077" s="54"/>
    </row>
    <row r="1078" spans="1:5" ht="15" customHeight="1">
      <c r="A1078" s="61" t="s">
        <v>972</v>
      </c>
      <c r="B1078" s="61" t="s">
        <v>971</v>
      </c>
      <c r="C1078" s="55">
        <v>79.23</v>
      </c>
      <c r="D1078" s="54"/>
      <c r="E1078" s="54"/>
    </row>
    <row r="1079" spans="1:5" ht="15" customHeight="1">
      <c r="A1079" s="61" t="s">
        <v>970</v>
      </c>
      <c r="B1079" s="61" t="s">
        <v>969</v>
      </c>
      <c r="C1079" s="55">
        <v>75.03</v>
      </c>
      <c r="D1079" s="54"/>
      <c r="E1079" s="54"/>
    </row>
    <row r="1080" spans="1:5" ht="15" customHeight="1">
      <c r="A1080" s="61" t="s">
        <v>968</v>
      </c>
      <c r="B1080" s="61" t="s">
        <v>412</v>
      </c>
      <c r="C1080" s="55">
        <v>9.18</v>
      </c>
      <c r="D1080" s="54"/>
      <c r="E1080" s="54"/>
    </row>
    <row r="1081" spans="1:5" ht="15" customHeight="1">
      <c r="A1081" s="61" t="s">
        <v>967</v>
      </c>
      <c r="B1081" s="61" t="s">
        <v>966</v>
      </c>
      <c r="C1081" s="55">
        <v>431.34</v>
      </c>
      <c r="D1081" s="54"/>
      <c r="E1081" s="54"/>
    </row>
    <row r="1082" spans="1:5" ht="15" customHeight="1">
      <c r="A1082" s="61" t="s">
        <v>965</v>
      </c>
      <c r="B1082" s="61" t="s">
        <v>964</v>
      </c>
      <c r="C1082" s="55">
        <v>13.75</v>
      </c>
      <c r="D1082" s="54"/>
      <c r="E1082" s="54"/>
    </row>
    <row r="1083" spans="1:5" ht="15" customHeight="1">
      <c r="A1083" s="61" t="s">
        <v>963</v>
      </c>
      <c r="B1083" s="61" t="s">
        <v>962</v>
      </c>
      <c r="C1083" s="55">
        <v>189.07</v>
      </c>
      <c r="D1083" s="54"/>
      <c r="E1083" s="54"/>
    </row>
    <row r="1084" spans="1:5" ht="15" customHeight="1">
      <c r="A1084" s="61" t="s">
        <v>961</v>
      </c>
      <c r="B1084" s="61" t="s">
        <v>960</v>
      </c>
      <c r="C1084" s="55">
        <v>192.9</v>
      </c>
      <c r="D1084" s="54"/>
      <c r="E1084" s="54"/>
    </row>
    <row r="1085" spans="1:5" ht="15" customHeight="1">
      <c r="A1085" s="61" t="s">
        <v>959</v>
      </c>
      <c r="B1085" s="61" t="s">
        <v>958</v>
      </c>
      <c r="C1085" s="55">
        <v>103.5</v>
      </c>
      <c r="D1085" s="54"/>
      <c r="E1085" s="54"/>
    </row>
    <row r="1086" spans="1:5" ht="15" customHeight="1">
      <c r="A1086" s="61" t="s">
        <v>957</v>
      </c>
      <c r="B1086" s="61" t="s">
        <v>956</v>
      </c>
      <c r="C1086" s="55">
        <v>94.87</v>
      </c>
      <c r="D1086" s="54"/>
      <c r="E1086" s="54"/>
    </row>
    <row r="1087" spans="1:5" ht="15" customHeight="1">
      <c r="A1087" s="61" t="s">
        <v>955</v>
      </c>
      <c r="B1087" s="61" t="s">
        <v>954</v>
      </c>
      <c r="C1087" s="55">
        <v>436.62</v>
      </c>
      <c r="D1087" s="54"/>
      <c r="E1087" s="54"/>
    </row>
    <row r="1088" spans="1:5" ht="15" customHeight="1">
      <c r="A1088" s="61" t="s">
        <v>953</v>
      </c>
      <c r="B1088" s="61" t="s">
        <v>952</v>
      </c>
      <c r="C1088" s="55">
        <v>511</v>
      </c>
      <c r="D1088" s="54"/>
      <c r="E1088" s="54"/>
    </row>
    <row r="1089" spans="1:5" ht="15" customHeight="1">
      <c r="A1089" s="61" t="s">
        <v>951</v>
      </c>
      <c r="B1089" s="61" t="s">
        <v>950</v>
      </c>
      <c r="C1089" s="55">
        <v>362</v>
      </c>
      <c r="D1089" s="54"/>
      <c r="E1089" s="54"/>
    </row>
    <row r="1090" spans="1:5" ht="15" customHeight="1">
      <c r="A1090" s="61" t="s">
        <v>949</v>
      </c>
      <c r="B1090" s="61" t="s">
        <v>948</v>
      </c>
      <c r="C1090" s="55">
        <v>472.13</v>
      </c>
      <c r="D1090" s="54"/>
      <c r="E1090" s="54"/>
    </row>
    <row r="1091" spans="1:5" ht="15" customHeight="1">
      <c r="A1091" s="61" t="s">
        <v>947</v>
      </c>
      <c r="B1091" s="61" t="s">
        <v>946</v>
      </c>
      <c r="C1091" s="55">
        <v>410.61</v>
      </c>
      <c r="D1091" s="54"/>
      <c r="E1091" s="54"/>
    </row>
    <row r="1092" spans="1:5" ht="15" customHeight="1">
      <c r="A1092" s="61" t="s">
        <v>945</v>
      </c>
      <c r="B1092" s="61" t="s">
        <v>944</v>
      </c>
      <c r="C1092" s="55">
        <v>247.05</v>
      </c>
      <c r="D1092" s="54"/>
      <c r="E1092" s="54"/>
    </row>
    <row r="1093" spans="1:5" ht="15" customHeight="1">
      <c r="A1093" s="61" t="s">
        <v>943</v>
      </c>
      <c r="B1093" s="61" t="s">
        <v>942</v>
      </c>
      <c r="C1093" s="55">
        <v>321.56</v>
      </c>
      <c r="D1093" s="54"/>
      <c r="E1093" s="54"/>
    </row>
    <row r="1094" spans="1:5" ht="15" customHeight="1">
      <c r="A1094" s="61" t="s">
        <v>941</v>
      </c>
      <c r="B1094" s="61" t="s">
        <v>940</v>
      </c>
      <c r="C1094" s="55">
        <v>46.86</v>
      </c>
      <c r="D1094" s="54"/>
      <c r="E1094" s="54"/>
    </row>
    <row r="1095" spans="1:5" ht="15" customHeight="1">
      <c r="A1095" s="61" t="s">
        <v>939</v>
      </c>
      <c r="B1095" s="61" t="s">
        <v>938</v>
      </c>
      <c r="C1095" s="55">
        <v>324.23</v>
      </c>
      <c r="D1095" s="54"/>
      <c r="E1095" s="54"/>
    </row>
    <row r="1096" spans="1:5" ht="15" customHeight="1">
      <c r="A1096" s="61" t="s">
        <v>937</v>
      </c>
      <c r="B1096" s="61" t="s">
        <v>936</v>
      </c>
      <c r="C1096" s="55">
        <v>196</v>
      </c>
      <c r="D1096" s="54"/>
      <c r="E1096" s="54"/>
    </row>
    <row r="1097" spans="1:5" ht="15" customHeight="1">
      <c r="A1097" s="61" t="s">
        <v>935</v>
      </c>
      <c r="B1097" s="61" t="s">
        <v>934</v>
      </c>
      <c r="C1097" s="55">
        <v>15.9</v>
      </c>
      <c r="D1097" s="54"/>
      <c r="E1097" s="54"/>
    </row>
    <row r="1098" spans="1:5" ht="15" customHeight="1">
      <c r="A1098" s="61" t="s">
        <v>933</v>
      </c>
      <c r="B1098" s="61" t="s">
        <v>932</v>
      </c>
      <c r="C1098" s="55">
        <v>229.12</v>
      </c>
      <c r="D1098" s="54"/>
      <c r="E1098" s="54"/>
    </row>
    <row r="1099" spans="1:5" ht="15" customHeight="1">
      <c r="A1099" s="61" t="s">
        <v>931</v>
      </c>
      <c r="B1099" s="61" t="s">
        <v>930</v>
      </c>
      <c r="C1099" s="55">
        <v>419.29</v>
      </c>
      <c r="D1099" s="54"/>
      <c r="E1099" s="54"/>
    </row>
    <row r="1100" spans="1:5" ht="15" customHeight="1">
      <c r="A1100" s="61" t="s">
        <v>929</v>
      </c>
      <c r="B1100" s="61" t="s">
        <v>928</v>
      </c>
      <c r="C1100" s="55">
        <v>13.82</v>
      </c>
      <c r="D1100" s="54"/>
      <c r="E1100" s="54"/>
    </row>
    <row r="1101" spans="1:5" ht="15" customHeight="1">
      <c r="A1101" s="61" t="s">
        <v>927</v>
      </c>
      <c r="B1101" s="61" t="s">
        <v>926</v>
      </c>
      <c r="C1101" s="55">
        <v>26.2</v>
      </c>
      <c r="D1101" s="54"/>
      <c r="E1101" s="54"/>
    </row>
    <row r="1102" spans="1:5" ht="15" customHeight="1">
      <c r="A1102" s="61" t="s">
        <v>925</v>
      </c>
      <c r="B1102" s="61" t="s">
        <v>924</v>
      </c>
      <c r="C1102" s="55">
        <v>214.31</v>
      </c>
      <c r="D1102" s="54"/>
      <c r="E1102" s="54"/>
    </row>
    <row r="1103" spans="1:5" ht="15" customHeight="1">
      <c r="A1103" s="61" t="s">
        <v>923</v>
      </c>
      <c r="B1103" s="61" t="s">
        <v>922</v>
      </c>
      <c r="C1103" s="55">
        <v>447.65</v>
      </c>
      <c r="D1103" s="54"/>
      <c r="E1103" s="54"/>
    </row>
    <row r="1104" spans="1:5" ht="15" customHeight="1">
      <c r="A1104" s="61" t="s">
        <v>921</v>
      </c>
      <c r="B1104" s="61" t="s">
        <v>920</v>
      </c>
      <c r="C1104" s="55">
        <v>74.489999999999995</v>
      </c>
      <c r="D1104" s="54"/>
      <c r="E1104" s="54"/>
    </row>
    <row r="1105" spans="1:5" ht="15" customHeight="1">
      <c r="A1105" s="61" t="s">
        <v>919</v>
      </c>
      <c r="B1105" s="61" t="s">
        <v>918</v>
      </c>
      <c r="C1105" s="55">
        <v>36</v>
      </c>
      <c r="D1105" s="54"/>
      <c r="E1105" s="54"/>
    </row>
    <row r="1106" spans="1:5" ht="15" customHeight="1">
      <c r="A1106" s="61" t="s">
        <v>917</v>
      </c>
      <c r="B1106" s="61" t="s">
        <v>916</v>
      </c>
      <c r="C1106" s="55">
        <v>32.93</v>
      </c>
      <c r="D1106" s="54"/>
      <c r="E1106" s="54"/>
    </row>
    <row r="1107" spans="1:5" ht="15" customHeight="1">
      <c r="A1107" s="61" t="s">
        <v>915</v>
      </c>
      <c r="B1107" s="61" t="s">
        <v>914</v>
      </c>
      <c r="C1107" s="55">
        <v>69.33</v>
      </c>
      <c r="D1107" s="54"/>
      <c r="E1107" s="54"/>
    </row>
    <row r="1108" spans="1:5" ht="15" customHeight="1">
      <c r="A1108" s="61" t="s">
        <v>913</v>
      </c>
      <c r="B1108" s="61" t="s">
        <v>912</v>
      </c>
      <c r="C1108" s="55">
        <v>13.84</v>
      </c>
      <c r="D1108" s="54"/>
      <c r="E1108" s="54"/>
    </row>
    <row r="1109" spans="1:5" ht="15" customHeight="1">
      <c r="A1109" s="61" t="s">
        <v>911</v>
      </c>
      <c r="B1109" s="61" t="s">
        <v>910</v>
      </c>
      <c r="C1109" s="55">
        <v>146.88</v>
      </c>
      <c r="D1109" s="54"/>
      <c r="E1109" s="54"/>
    </row>
    <row r="1110" spans="1:5" ht="15" customHeight="1">
      <c r="A1110" s="61" t="s">
        <v>909</v>
      </c>
      <c r="B1110" s="61" t="s">
        <v>908</v>
      </c>
      <c r="C1110" s="55">
        <v>81</v>
      </c>
      <c r="D1110" s="54"/>
      <c r="E1110" s="54"/>
    </row>
    <row r="1111" spans="1:5" ht="15" customHeight="1">
      <c r="A1111" s="61" t="s">
        <v>907</v>
      </c>
      <c r="B1111" s="61" t="s">
        <v>906</v>
      </c>
      <c r="C1111" s="55">
        <v>9.34</v>
      </c>
      <c r="D1111" s="54"/>
      <c r="E1111" s="54"/>
    </row>
    <row r="1112" spans="1:5" ht="15" customHeight="1">
      <c r="A1112" s="61" t="s">
        <v>905</v>
      </c>
      <c r="B1112" s="61" t="s">
        <v>904</v>
      </c>
      <c r="C1112" s="55">
        <v>7.42</v>
      </c>
      <c r="D1112" s="54"/>
      <c r="E1112" s="54"/>
    </row>
    <row r="1113" spans="1:5" ht="15" customHeight="1">
      <c r="A1113" s="61" t="s">
        <v>903</v>
      </c>
      <c r="B1113" s="61" t="s">
        <v>902</v>
      </c>
      <c r="C1113" s="55">
        <v>9.34</v>
      </c>
      <c r="D1113" s="54"/>
      <c r="E1113" s="54"/>
    </row>
    <row r="1114" spans="1:5" ht="15" customHeight="1">
      <c r="A1114" s="61" t="s">
        <v>901</v>
      </c>
      <c r="B1114" s="61" t="s">
        <v>900</v>
      </c>
      <c r="C1114" s="55">
        <v>20.5</v>
      </c>
      <c r="D1114" s="54"/>
      <c r="E1114" s="54"/>
    </row>
    <row r="1115" spans="1:5" ht="15" customHeight="1">
      <c r="A1115" s="61" t="s">
        <v>899</v>
      </c>
      <c r="B1115" s="61" t="s">
        <v>898</v>
      </c>
      <c r="C1115" s="55">
        <v>12.28</v>
      </c>
      <c r="D1115" s="54"/>
      <c r="E1115" s="54"/>
    </row>
    <row r="1116" spans="1:5" ht="15" customHeight="1">
      <c r="A1116" s="61" t="s">
        <v>897</v>
      </c>
      <c r="B1116" s="61" t="s">
        <v>896</v>
      </c>
      <c r="C1116" s="55">
        <v>6.32</v>
      </c>
      <c r="D1116" s="54"/>
      <c r="E1116" s="54"/>
    </row>
    <row r="1117" spans="1:5" ht="15" customHeight="1">
      <c r="A1117" s="61" t="s">
        <v>895</v>
      </c>
      <c r="B1117" s="61" t="s">
        <v>894</v>
      </c>
      <c r="C1117" s="55">
        <v>3.6</v>
      </c>
      <c r="D1117" s="54"/>
      <c r="E1117" s="54"/>
    </row>
    <row r="1118" spans="1:5" ht="15" customHeight="1">
      <c r="A1118" s="61" t="s">
        <v>893</v>
      </c>
      <c r="B1118" s="61" t="s">
        <v>892</v>
      </c>
      <c r="C1118" s="55">
        <v>30.62</v>
      </c>
      <c r="D1118" s="54"/>
      <c r="E1118" s="54"/>
    </row>
    <row r="1119" spans="1:5" ht="15" customHeight="1">
      <c r="A1119" s="61" t="s">
        <v>891</v>
      </c>
      <c r="B1119" s="61" t="s">
        <v>890</v>
      </c>
      <c r="C1119" s="55">
        <v>99.54</v>
      </c>
      <c r="D1119" s="54"/>
      <c r="E1119" s="54"/>
    </row>
    <row r="1120" spans="1:5" ht="15" customHeight="1">
      <c r="A1120" s="61" t="s">
        <v>889</v>
      </c>
      <c r="B1120" s="61" t="s">
        <v>888</v>
      </c>
      <c r="C1120" s="55">
        <v>1032.5</v>
      </c>
      <c r="D1120" s="54"/>
      <c r="E1120" s="54"/>
    </row>
    <row r="1121" spans="1:5" ht="15" customHeight="1">
      <c r="A1121" s="61" t="s">
        <v>887</v>
      </c>
      <c r="B1121" s="61" t="s">
        <v>886</v>
      </c>
      <c r="C1121" s="55">
        <v>242.64</v>
      </c>
      <c r="D1121" s="54"/>
      <c r="E1121" s="54"/>
    </row>
    <row r="1122" spans="1:5" ht="15" customHeight="1">
      <c r="A1122" s="61" t="s">
        <v>885</v>
      </c>
      <c r="B1122" s="61" t="s">
        <v>884</v>
      </c>
      <c r="C1122" s="55">
        <v>45.7</v>
      </c>
      <c r="D1122" s="54"/>
      <c r="E1122" s="54"/>
    </row>
    <row r="1123" spans="1:5" ht="15" customHeight="1">
      <c r="A1123" s="61" t="s">
        <v>883</v>
      </c>
      <c r="B1123" s="61" t="s">
        <v>882</v>
      </c>
      <c r="C1123" s="55">
        <v>194.6</v>
      </c>
      <c r="D1123" s="54"/>
      <c r="E1123" s="54"/>
    </row>
    <row r="1124" spans="1:5" ht="15" customHeight="1">
      <c r="A1124" s="61" t="s">
        <v>881</v>
      </c>
      <c r="B1124" s="61" t="s">
        <v>880</v>
      </c>
      <c r="C1124" s="55">
        <v>523.79999999999995</v>
      </c>
      <c r="D1124" s="54"/>
      <c r="E1124" s="54"/>
    </row>
    <row r="1125" spans="1:5" ht="15" customHeight="1">
      <c r="A1125" s="61" t="s">
        <v>879</v>
      </c>
      <c r="B1125" s="61" t="s">
        <v>878</v>
      </c>
      <c r="C1125" s="55">
        <v>97.75</v>
      </c>
      <c r="D1125" s="54"/>
      <c r="E1125" s="54"/>
    </row>
    <row r="1126" spans="1:5" ht="15" customHeight="1">
      <c r="A1126" s="61" t="s">
        <v>877</v>
      </c>
      <c r="B1126" s="61" t="s">
        <v>876</v>
      </c>
      <c r="C1126" s="55">
        <v>11.29</v>
      </c>
      <c r="D1126" s="54"/>
      <c r="E1126" s="54"/>
    </row>
    <row r="1127" spans="1:5" ht="15" customHeight="1">
      <c r="A1127" s="61" t="s">
        <v>875</v>
      </c>
      <c r="B1127" s="61" t="s">
        <v>874</v>
      </c>
      <c r="C1127" s="55">
        <v>37.57</v>
      </c>
      <c r="D1127" s="54"/>
      <c r="E1127" s="54"/>
    </row>
    <row r="1128" spans="1:5" ht="15" customHeight="1">
      <c r="A1128" s="61" t="s">
        <v>873</v>
      </c>
      <c r="B1128" s="61" t="s">
        <v>872</v>
      </c>
      <c r="C1128" s="55">
        <v>25.92</v>
      </c>
      <c r="D1128" s="54"/>
      <c r="E1128" s="54"/>
    </row>
    <row r="1129" spans="1:5" ht="15" customHeight="1">
      <c r="A1129" s="61" t="s">
        <v>871</v>
      </c>
      <c r="B1129" s="61" t="s">
        <v>870</v>
      </c>
      <c r="C1129" s="55">
        <v>39.44</v>
      </c>
      <c r="D1129" s="54"/>
      <c r="E1129" s="54"/>
    </row>
    <row r="1130" spans="1:5" ht="15" customHeight="1">
      <c r="A1130" s="61" t="s">
        <v>869</v>
      </c>
      <c r="B1130" s="61" t="s">
        <v>868</v>
      </c>
      <c r="C1130" s="55">
        <v>153.75</v>
      </c>
      <c r="D1130" s="54"/>
      <c r="E1130" s="54"/>
    </row>
    <row r="1131" spans="1:5" ht="15" customHeight="1">
      <c r="A1131" s="61" t="s">
        <v>867</v>
      </c>
      <c r="B1131" s="61" t="s">
        <v>855</v>
      </c>
      <c r="C1131" s="55">
        <v>54.22</v>
      </c>
      <c r="D1131" s="54"/>
      <c r="E1131" s="54"/>
    </row>
    <row r="1132" spans="1:5" ht="15" customHeight="1">
      <c r="A1132" s="61" t="s">
        <v>866</v>
      </c>
      <c r="B1132" s="61" t="s">
        <v>865</v>
      </c>
      <c r="C1132" s="55">
        <v>97</v>
      </c>
      <c r="D1132" s="54"/>
      <c r="E1132" s="54"/>
    </row>
    <row r="1133" spans="1:5" ht="15" customHeight="1">
      <c r="A1133" s="61" t="s">
        <v>864</v>
      </c>
      <c r="B1133" s="61" t="s">
        <v>863</v>
      </c>
      <c r="C1133" s="55">
        <v>39.31</v>
      </c>
      <c r="D1133" s="54"/>
      <c r="E1133" s="54"/>
    </row>
    <row r="1134" spans="1:5" ht="15" customHeight="1">
      <c r="A1134" s="61" t="s">
        <v>862</v>
      </c>
      <c r="B1134" s="61" t="s">
        <v>861</v>
      </c>
      <c r="C1134" s="55">
        <v>22.04</v>
      </c>
      <c r="D1134" s="54"/>
      <c r="E1134" s="54"/>
    </row>
    <row r="1135" spans="1:5" ht="15" customHeight="1">
      <c r="A1135" s="61" t="s">
        <v>860</v>
      </c>
      <c r="B1135" s="61" t="s">
        <v>859</v>
      </c>
      <c r="C1135" s="55">
        <v>30.51</v>
      </c>
      <c r="D1135" s="54"/>
      <c r="E1135" s="54"/>
    </row>
    <row r="1136" spans="1:5" ht="15" customHeight="1">
      <c r="A1136" s="61" t="s">
        <v>858</v>
      </c>
      <c r="B1136" s="61" t="s">
        <v>857</v>
      </c>
      <c r="C1136" s="55">
        <v>60.95</v>
      </c>
      <c r="D1136" s="54"/>
      <c r="E1136" s="54"/>
    </row>
    <row r="1137" spans="1:5" ht="15" customHeight="1">
      <c r="A1137" s="61" t="s">
        <v>856</v>
      </c>
      <c r="B1137" s="61" t="s">
        <v>855</v>
      </c>
      <c r="C1137" s="55">
        <v>141.38999999999999</v>
      </c>
      <c r="D1137" s="54"/>
      <c r="E1137" s="54"/>
    </row>
    <row r="1138" spans="1:5" ht="15" customHeight="1">
      <c r="A1138" s="61" t="s">
        <v>854</v>
      </c>
      <c r="B1138" s="61" t="s">
        <v>853</v>
      </c>
      <c r="C1138" s="55">
        <v>67.67</v>
      </c>
      <c r="D1138" s="54"/>
      <c r="E1138" s="54"/>
    </row>
    <row r="1139" spans="1:5" ht="15" customHeight="1">
      <c r="A1139" s="61" t="s">
        <v>852</v>
      </c>
      <c r="B1139" s="61" t="s">
        <v>851</v>
      </c>
      <c r="C1139" s="55">
        <v>47.49</v>
      </c>
      <c r="D1139" s="54"/>
      <c r="E1139" s="54"/>
    </row>
    <row r="1140" spans="1:5" ht="15" customHeight="1">
      <c r="A1140" s="61" t="s">
        <v>850</v>
      </c>
      <c r="B1140" s="61" t="s">
        <v>849</v>
      </c>
      <c r="C1140" s="55">
        <v>67.16</v>
      </c>
      <c r="D1140" s="54"/>
      <c r="E1140" s="54"/>
    </row>
    <row r="1141" spans="1:5" ht="15" customHeight="1">
      <c r="A1141" s="61" t="s">
        <v>848</v>
      </c>
      <c r="B1141" s="61" t="s">
        <v>847</v>
      </c>
      <c r="C1141" s="55">
        <v>9.85</v>
      </c>
      <c r="D1141" s="54"/>
      <c r="E1141" s="54"/>
    </row>
    <row r="1142" spans="1:5" ht="15" customHeight="1">
      <c r="A1142" s="61" t="s">
        <v>846</v>
      </c>
      <c r="B1142" s="61" t="s">
        <v>845</v>
      </c>
      <c r="C1142" s="55">
        <v>41.47</v>
      </c>
      <c r="D1142" s="54"/>
      <c r="E1142" s="54"/>
    </row>
    <row r="1143" spans="1:5" ht="15" customHeight="1">
      <c r="A1143" s="61" t="s">
        <v>844</v>
      </c>
      <c r="B1143" s="61" t="s">
        <v>843</v>
      </c>
      <c r="C1143" s="55">
        <v>34.520000000000003</v>
      </c>
      <c r="D1143" s="54"/>
      <c r="E1143" s="54"/>
    </row>
    <row r="1144" spans="1:5" ht="15" customHeight="1">
      <c r="A1144" s="61" t="s">
        <v>842</v>
      </c>
      <c r="B1144" s="61" t="s">
        <v>841</v>
      </c>
      <c r="C1144" s="55">
        <v>34.520000000000003</v>
      </c>
      <c r="D1144" s="54"/>
      <c r="E1144" s="54"/>
    </row>
    <row r="1145" spans="1:5" ht="15" customHeight="1">
      <c r="A1145" s="61" t="s">
        <v>840</v>
      </c>
      <c r="B1145" s="61" t="s">
        <v>839</v>
      </c>
      <c r="C1145" s="55">
        <v>20.94</v>
      </c>
      <c r="D1145" s="54"/>
      <c r="E1145" s="54"/>
    </row>
    <row r="1146" spans="1:5" ht="15" customHeight="1">
      <c r="A1146" s="61" t="s">
        <v>838</v>
      </c>
      <c r="B1146" s="61" t="s">
        <v>837</v>
      </c>
      <c r="C1146" s="55">
        <v>34.520000000000003</v>
      </c>
      <c r="D1146" s="54"/>
      <c r="E1146" s="54"/>
    </row>
    <row r="1147" spans="1:5" ht="15" customHeight="1">
      <c r="A1147" s="61" t="s">
        <v>836</v>
      </c>
      <c r="B1147" s="61" t="s">
        <v>835</v>
      </c>
      <c r="C1147" s="55">
        <v>16.39</v>
      </c>
      <c r="D1147" s="54"/>
      <c r="E1147" s="54"/>
    </row>
    <row r="1148" spans="1:5" ht="15" customHeight="1">
      <c r="A1148" s="61" t="s">
        <v>834</v>
      </c>
      <c r="B1148" s="61" t="s">
        <v>833</v>
      </c>
      <c r="C1148" s="55">
        <v>12.06</v>
      </c>
      <c r="D1148" s="54"/>
      <c r="E1148" s="54"/>
    </row>
    <row r="1149" spans="1:5" ht="15" customHeight="1">
      <c r="A1149" s="61" t="s">
        <v>832</v>
      </c>
      <c r="B1149" s="61" t="s">
        <v>831</v>
      </c>
      <c r="C1149" s="55">
        <v>7.99</v>
      </c>
      <c r="D1149" s="54"/>
      <c r="E1149" s="54"/>
    </row>
    <row r="1150" spans="1:5" ht="15" customHeight="1">
      <c r="A1150" s="61" t="s">
        <v>830</v>
      </c>
      <c r="B1150" s="61" t="s">
        <v>829</v>
      </c>
      <c r="C1150" s="55">
        <v>13.11</v>
      </c>
      <c r="D1150" s="54"/>
      <c r="E1150" s="54"/>
    </row>
    <row r="1151" spans="1:5" ht="15" customHeight="1">
      <c r="A1151" s="61" t="s">
        <v>828</v>
      </c>
      <c r="B1151" s="61" t="s">
        <v>827</v>
      </c>
      <c r="C1151" s="55">
        <v>7.99</v>
      </c>
      <c r="D1151" s="54"/>
      <c r="E1151" s="54"/>
    </row>
    <row r="1152" spans="1:5" ht="15" customHeight="1">
      <c r="A1152" s="61" t="s">
        <v>826</v>
      </c>
      <c r="B1152" s="61" t="s">
        <v>825</v>
      </c>
      <c r="C1152" s="55">
        <v>7.99</v>
      </c>
      <c r="D1152" s="54"/>
      <c r="E1152" s="54"/>
    </row>
    <row r="1153" spans="1:5" ht="15" customHeight="1">
      <c r="A1153" s="61" t="s">
        <v>824</v>
      </c>
      <c r="B1153" s="61" t="s">
        <v>823</v>
      </c>
      <c r="C1153" s="55">
        <v>7.99</v>
      </c>
      <c r="D1153" s="54"/>
      <c r="E1153" s="54"/>
    </row>
    <row r="1154" spans="1:5" ht="15" customHeight="1">
      <c r="A1154" s="61" t="s">
        <v>822</v>
      </c>
      <c r="B1154" s="61" t="s">
        <v>818</v>
      </c>
      <c r="C1154" s="55">
        <v>10.78</v>
      </c>
      <c r="D1154" s="54"/>
      <c r="E1154" s="54"/>
    </row>
    <row r="1155" spans="1:5" ht="15" customHeight="1">
      <c r="A1155" s="61" t="s">
        <v>821</v>
      </c>
      <c r="B1155" s="61" t="s">
        <v>820</v>
      </c>
      <c r="C1155" s="55">
        <v>13.11</v>
      </c>
      <c r="D1155" s="54"/>
      <c r="E1155" s="54"/>
    </row>
    <row r="1156" spans="1:5" ht="15" customHeight="1">
      <c r="A1156" s="61" t="s">
        <v>819</v>
      </c>
      <c r="B1156" s="61" t="s">
        <v>818</v>
      </c>
      <c r="C1156" s="55">
        <v>10.78</v>
      </c>
      <c r="D1156" s="54"/>
      <c r="E1156" s="54"/>
    </row>
    <row r="1157" spans="1:5" ht="15" customHeight="1">
      <c r="A1157" s="61" t="s">
        <v>817</v>
      </c>
      <c r="B1157" s="61" t="s">
        <v>816</v>
      </c>
      <c r="C1157" s="55">
        <v>7.99</v>
      </c>
      <c r="D1157" s="54"/>
      <c r="E1157" s="54"/>
    </row>
    <row r="1158" spans="1:5" ht="15" customHeight="1">
      <c r="A1158" s="61" t="s">
        <v>815</v>
      </c>
      <c r="B1158" s="61" t="s">
        <v>814</v>
      </c>
      <c r="C1158" s="55">
        <v>7.99</v>
      </c>
      <c r="D1158" s="54"/>
      <c r="E1158" s="54"/>
    </row>
    <row r="1159" spans="1:5" ht="15" customHeight="1">
      <c r="A1159" s="61" t="s">
        <v>813</v>
      </c>
      <c r="B1159" s="61" t="s">
        <v>810</v>
      </c>
      <c r="C1159" s="55">
        <v>10.78</v>
      </c>
      <c r="D1159" s="54"/>
      <c r="E1159" s="54"/>
    </row>
    <row r="1160" spans="1:5" ht="15" customHeight="1">
      <c r="A1160" s="61" t="s">
        <v>812</v>
      </c>
      <c r="B1160" s="61" t="s">
        <v>409</v>
      </c>
      <c r="C1160" s="55">
        <v>13.11</v>
      </c>
      <c r="D1160" s="54"/>
      <c r="E1160" s="54"/>
    </row>
    <row r="1161" spans="1:5" ht="15" customHeight="1">
      <c r="A1161" s="61" t="s">
        <v>811</v>
      </c>
      <c r="B1161" s="61" t="s">
        <v>810</v>
      </c>
      <c r="C1161" s="55">
        <v>10.78</v>
      </c>
      <c r="D1161" s="54"/>
      <c r="E1161" s="54"/>
    </row>
    <row r="1162" spans="1:5" ht="15" customHeight="1">
      <c r="A1162" s="61" t="s">
        <v>809</v>
      </c>
      <c r="B1162" s="61" t="s">
        <v>808</v>
      </c>
      <c r="C1162" s="55">
        <v>38.340000000000003</v>
      </c>
      <c r="D1162" s="54"/>
      <c r="E1162" s="54"/>
    </row>
    <row r="1163" spans="1:5" ht="15" customHeight="1">
      <c r="A1163" s="61" t="s">
        <v>807</v>
      </c>
      <c r="B1163" s="61" t="s">
        <v>806</v>
      </c>
      <c r="C1163" s="55">
        <v>171.6</v>
      </c>
      <c r="D1163" s="54"/>
      <c r="E1163" s="54"/>
    </row>
    <row r="1164" spans="1:5" ht="15" customHeight="1">
      <c r="A1164" s="61" t="s">
        <v>805</v>
      </c>
      <c r="B1164" s="61" t="s">
        <v>804</v>
      </c>
      <c r="C1164" s="55">
        <v>15.35</v>
      </c>
      <c r="D1164" s="54"/>
      <c r="E1164" s="54"/>
    </row>
    <row r="1165" spans="1:5" ht="15" customHeight="1">
      <c r="A1165" s="61" t="s">
        <v>803</v>
      </c>
      <c r="B1165" s="61" t="s">
        <v>802</v>
      </c>
      <c r="C1165" s="55">
        <v>30.64</v>
      </c>
      <c r="D1165" s="54"/>
      <c r="E1165" s="54"/>
    </row>
    <row r="1166" spans="1:5" ht="15" customHeight="1">
      <c r="A1166" s="61" t="s">
        <v>801</v>
      </c>
      <c r="B1166" s="61" t="s">
        <v>800</v>
      </c>
      <c r="C1166" s="55">
        <v>30.64</v>
      </c>
      <c r="D1166" s="54"/>
      <c r="E1166" s="54"/>
    </row>
    <row r="1167" spans="1:5" ht="15" customHeight="1">
      <c r="A1167" s="61" t="s">
        <v>799</v>
      </c>
      <c r="B1167" s="61" t="s">
        <v>798</v>
      </c>
      <c r="C1167" s="55">
        <v>9.1300000000000008</v>
      </c>
      <c r="D1167" s="54"/>
      <c r="E1167" s="54"/>
    </row>
    <row r="1168" spans="1:5" ht="15" customHeight="1">
      <c r="A1168" s="61" t="s">
        <v>797</v>
      </c>
      <c r="B1168" s="61" t="s">
        <v>796</v>
      </c>
      <c r="C1168" s="55">
        <v>10.51</v>
      </c>
      <c r="D1168" s="54"/>
      <c r="E1168" s="54"/>
    </row>
    <row r="1169" spans="1:5" ht="15" customHeight="1">
      <c r="A1169" s="61" t="s">
        <v>795</v>
      </c>
      <c r="B1169" s="61" t="s">
        <v>794</v>
      </c>
      <c r="C1169" s="55">
        <v>15.24</v>
      </c>
      <c r="D1169" s="54"/>
      <c r="E1169" s="54"/>
    </row>
    <row r="1170" spans="1:5" ht="15" customHeight="1">
      <c r="A1170" s="61" t="s">
        <v>793</v>
      </c>
      <c r="B1170" s="61" t="s">
        <v>792</v>
      </c>
      <c r="C1170" s="55">
        <v>15.25</v>
      </c>
      <c r="D1170" s="54"/>
      <c r="E1170" s="54"/>
    </row>
    <row r="1171" spans="1:5" ht="15" customHeight="1">
      <c r="A1171" s="61" t="s">
        <v>791</v>
      </c>
      <c r="B1171" s="61" t="s">
        <v>790</v>
      </c>
      <c r="C1171" s="55">
        <v>14.92</v>
      </c>
      <c r="D1171" s="54"/>
      <c r="E1171" s="54"/>
    </row>
    <row r="1172" spans="1:5" ht="15" customHeight="1">
      <c r="A1172" s="61" t="s">
        <v>789</v>
      </c>
      <c r="B1172" s="61" t="s">
        <v>788</v>
      </c>
      <c r="C1172" s="55">
        <v>8.6</v>
      </c>
      <c r="D1172" s="54"/>
      <c r="E1172" s="54"/>
    </row>
    <row r="1173" spans="1:5" ht="15" customHeight="1">
      <c r="A1173" s="61" t="s">
        <v>787</v>
      </c>
      <c r="B1173" s="61" t="s">
        <v>786</v>
      </c>
      <c r="C1173" s="55">
        <v>10.029999999999999</v>
      </c>
      <c r="D1173" s="54"/>
      <c r="E1173" s="54"/>
    </row>
    <row r="1174" spans="1:5" ht="15" customHeight="1">
      <c r="A1174" s="61" t="s">
        <v>785</v>
      </c>
      <c r="B1174" s="61" t="s">
        <v>784</v>
      </c>
      <c r="C1174" s="55">
        <v>14.68</v>
      </c>
      <c r="D1174" s="54"/>
      <c r="E1174" s="54"/>
    </row>
    <row r="1175" spans="1:5" ht="15" customHeight="1">
      <c r="A1175" s="61" t="s">
        <v>783</v>
      </c>
      <c r="B1175" s="61" t="s">
        <v>782</v>
      </c>
      <c r="C1175" s="55">
        <v>10.119999999999999</v>
      </c>
      <c r="D1175" s="54"/>
      <c r="E1175" s="54"/>
    </row>
    <row r="1176" spans="1:5" ht="15" customHeight="1">
      <c r="A1176" s="61" t="s">
        <v>781</v>
      </c>
      <c r="B1176" s="61" t="s">
        <v>780</v>
      </c>
      <c r="C1176" s="55">
        <v>17.010000000000002</v>
      </c>
      <c r="D1176" s="54"/>
      <c r="E1176" s="54"/>
    </row>
    <row r="1177" spans="1:5" ht="15" customHeight="1">
      <c r="A1177" s="61" t="s">
        <v>779</v>
      </c>
      <c r="B1177" s="61" t="s">
        <v>778</v>
      </c>
      <c r="C1177" s="55">
        <v>13.38</v>
      </c>
      <c r="D1177" s="54"/>
      <c r="E1177" s="54"/>
    </row>
    <row r="1178" spans="1:5" ht="15" customHeight="1">
      <c r="A1178" s="61" t="s">
        <v>777</v>
      </c>
      <c r="B1178" s="61" t="s">
        <v>776</v>
      </c>
      <c r="C1178" s="55">
        <v>63.96</v>
      </c>
      <c r="D1178" s="54"/>
      <c r="E1178" s="54"/>
    </row>
    <row r="1179" spans="1:5" ht="15" customHeight="1">
      <c r="A1179" s="61" t="s">
        <v>775</v>
      </c>
      <c r="B1179" s="61" t="s">
        <v>774</v>
      </c>
      <c r="C1179" s="55">
        <v>14.92</v>
      </c>
      <c r="D1179" s="54"/>
      <c r="E1179" s="54"/>
    </row>
    <row r="1180" spans="1:5" ht="15" customHeight="1">
      <c r="A1180" s="61" t="s">
        <v>773</v>
      </c>
      <c r="B1180" s="61" t="s">
        <v>772</v>
      </c>
      <c r="C1180" s="55">
        <v>10.52</v>
      </c>
      <c r="D1180" s="54"/>
      <c r="E1180" s="54"/>
    </row>
    <row r="1181" spans="1:5" ht="15" customHeight="1">
      <c r="A1181" s="61" t="s">
        <v>771</v>
      </c>
      <c r="B1181" s="61" t="s">
        <v>770</v>
      </c>
      <c r="C1181" s="55">
        <v>10.52</v>
      </c>
      <c r="D1181" s="54"/>
      <c r="E1181" s="54"/>
    </row>
    <row r="1182" spans="1:5" ht="15" customHeight="1">
      <c r="A1182" s="61" t="s">
        <v>769</v>
      </c>
      <c r="B1182" s="61" t="s">
        <v>768</v>
      </c>
      <c r="C1182" s="55">
        <v>16.25</v>
      </c>
      <c r="D1182" s="54"/>
      <c r="E1182" s="54"/>
    </row>
    <row r="1183" spans="1:5" ht="15" customHeight="1">
      <c r="A1183" s="61" t="s">
        <v>767</v>
      </c>
      <c r="B1183" s="61" t="s">
        <v>766</v>
      </c>
      <c r="C1183" s="55">
        <v>10.27</v>
      </c>
      <c r="D1183" s="54"/>
      <c r="E1183" s="54"/>
    </row>
    <row r="1184" spans="1:5" ht="15" customHeight="1">
      <c r="A1184" s="61" t="s">
        <v>765</v>
      </c>
      <c r="B1184" s="61" t="s">
        <v>764</v>
      </c>
      <c r="C1184" s="55">
        <v>9.2200000000000006</v>
      </c>
      <c r="D1184" s="54"/>
      <c r="E1184" s="54"/>
    </row>
    <row r="1185" spans="1:5" ht="15" customHeight="1">
      <c r="A1185" s="61" t="s">
        <v>763</v>
      </c>
      <c r="B1185" s="61" t="s">
        <v>762</v>
      </c>
      <c r="C1185" s="55">
        <v>10.1</v>
      </c>
      <c r="D1185" s="54"/>
      <c r="E1185" s="54"/>
    </row>
    <row r="1186" spans="1:5" ht="15" customHeight="1">
      <c r="A1186" s="61" t="s">
        <v>761</v>
      </c>
      <c r="B1186" s="61" t="s">
        <v>760</v>
      </c>
      <c r="C1186" s="55">
        <v>15.64</v>
      </c>
      <c r="D1186" s="54"/>
      <c r="E1186" s="54"/>
    </row>
    <row r="1187" spans="1:5" ht="15" customHeight="1">
      <c r="A1187" s="61" t="s">
        <v>759</v>
      </c>
      <c r="B1187" s="61" t="s">
        <v>758</v>
      </c>
      <c r="C1187" s="55">
        <v>15.25</v>
      </c>
      <c r="D1187" s="54"/>
      <c r="E1187" s="54"/>
    </row>
    <row r="1188" spans="1:5" ht="15" customHeight="1">
      <c r="A1188" s="61" t="s">
        <v>757</v>
      </c>
      <c r="B1188" s="61" t="s">
        <v>756</v>
      </c>
      <c r="C1188" s="55">
        <v>15.9</v>
      </c>
      <c r="D1188" s="54"/>
      <c r="E1188" s="54"/>
    </row>
    <row r="1189" spans="1:5" ht="15" customHeight="1">
      <c r="A1189" s="61" t="s">
        <v>755</v>
      </c>
      <c r="B1189" s="61" t="s">
        <v>754</v>
      </c>
      <c r="C1189" s="55">
        <v>24.12</v>
      </c>
      <c r="D1189" s="54"/>
      <c r="E1189" s="54"/>
    </row>
    <row r="1190" spans="1:5" ht="15" customHeight="1">
      <c r="A1190" s="61" t="s">
        <v>753</v>
      </c>
      <c r="B1190" s="61" t="s">
        <v>752</v>
      </c>
      <c r="C1190" s="55">
        <v>32.72</v>
      </c>
      <c r="D1190" s="54"/>
      <c r="E1190" s="54"/>
    </row>
    <row r="1191" spans="1:5" ht="15" customHeight="1">
      <c r="A1191" s="61" t="s">
        <v>751</v>
      </c>
      <c r="B1191" s="61" t="s">
        <v>750</v>
      </c>
      <c r="C1191" s="55">
        <v>5.85</v>
      </c>
      <c r="D1191" s="54"/>
      <c r="E1191" s="54"/>
    </row>
    <row r="1192" spans="1:5" ht="15" customHeight="1">
      <c r="A1192" s="61" t="s">
        <v>749</v>
      </c>
      <c r="B1192" s="61" t="s">
        <v>748</v>
      </c>
      <c r="C1192" s="55">
        <v>6.24</v>
      </c>
      <c r="D1192" s="54"/>
      <c r="E1192" s="54"/>
    </row>
    <row r="1193" spans="1:5" ht="15" customHeight="1">
      <c r="A1193" s="61" t="s">
        <v>747</v>
      </c>
      <c r="B1193" s="61" t="s">
        <v>746</v>
      </c>
      <c r="C1193" s="55">
        <v>6.26</v>
      </c>
      <c r="D1193" s="54"/>
      <c r="E1193" s="54"/>
    </row>
    <row r="1194" spans="1:5" ht="15" customHeight="1">
      <c r="A1194" s="61" t="s">
        <v>745</v>
      </c>
      <c r="B1194" s="61" t="s">
        <v>744</v>
      </c>
      <c r="C1194" s="55">
        <v>24.9</v>
      </c>
      <c r="D1194" s="54"/>
      <c r="E1194" s="54"/>
    </row>
    <row r="1195" spans="1:5" ht="15" customHeight="1">
      <c r="A1195" s="61" t="s">
        <v>743</v>
      </c>
      <c r="B1195" s="61" t="s">
        <v>742</v>
      </c>
      <c r="C1195" s="55">
        <v>18.059999999999999</v>
      </c>
      <c r="D1195" s="54"/>
      <c r="E1195" s="54"/>
    </row>
    <row r="1196" spans="1:5" ht="15" customHeight="1">
      <c r="A1196" s="61" t="s">
        <v>741</v>
      </c>
      <c r="B1196" s="61" t="s">
        <v>740</v>
      </c>
      <c r="C1196" s="55">
        <v>20.91</v>
      </c>
      <c r="D1196" s="54"/>
      <c r="E1196" s="54"/>
    </row>
    <row r="1197" spans="1:5" ht="15" customHeight="1">
      <c r="A1197" s="61" t="s">
        <v>739</v>
      </c>
      <c r="B1197" s="61" t="s">
        <v>738</v>
      </c>
      <c r="C1197" s="55">
        <v>19.96</v>
      </c>
      <c r="D1197" s="54"/>
      <c r="E1197" s="54"/>
    </row>
    <row r="1198" spans="1:5" ht="15" customHeight="1">
      <c r="A1198" s="61" t="s">
        <v>737</v>
      </c>
      <c r="B1198" s="61" t="s">
        <v>736</v>
      </c>
      <c r="C1198" s="55">
        <v>29.94</v>
      </c>
      <c r="D1198" s="54"/>
      <c r="E1198" s="54"/>
    </row>
    <row r="1199" spans="1:5" ht="15" customHeight="1">
      <c r="A1199" s="61" t="s">
        <v>735</v>
      </c>
      <c r="B1199" s="61" t="s">
        <v>734</v>
      </c>
      <c r="C1199" s="55">
        <v>2.4</v>
      </c>
      <c r="D1199" s="54"/>
      <c r="E1199" s="54"/>
    </row>
    <row r="1200" spans="1:5" ht="15" customHeight="1">
      <c r="A1200" s="61" t="s">
        <v>733</v>
      </c>
      <c r="B1200" s="61" t="s">
        <v>732</v>
      </c>
      <c r="C1200" s="55">
        <v>29.38</v>
      </c>
      <c r="D1200" s="54"/>
      <c r="E1200" s="54"/>
    </row>
    <row r="1201" spans="1:5" ht="15" customHeight="1">
      <c r="A1201" s="61" t="s">
        <v>731</v>
      </c>
      <c r="B1201" s="61" t="s">
        <v>730</v>
      </c>
      <c r="C1201" s="55">
        <v>39.6</v>
      </c>
      <c r="D1201" s="54"/>
      <c r="E1201" s="54"/>
    </row>
    <row r="1202" spans="1:5" ht="15" customHeight="1">
      <c r="A1202" s="61" t="s">
        <v>729</v>
      </c>
      <c r="B1202" s="61" t="s">
        <v>728</v>
      </c>
      <c r="C1202" s="55">
        <v>164.28</v>
      </c>
      <c r="D1202" s="54"/>
      <c r="E1202" s="54"/>
    </row>
    <row r="1203" spans="1:5" ht="15" customHeight="1">
      <c r="A1203" s="61" t="s">
        <v>727</v>
      </c>
      <c r="B1203" s="61" t="s">
        <v>726</v>
      </c>
      <c r="C1203" s="55">
        <v>250.17</v>
      </c>
      <c r="D1203" s="54"/>
      <c r="E1203" s="54"/>
    </row>
    <row r="1204" spans="1:5" ht="15" customHeight="1">
      <c r="A1204" s="61" t="s">
        <v>725</v>
      </c>
      <c r="B1204" s="61" t="s">
        <v>724</v>
      </c>
      <c r="C1204" s="55">
        <v>54.94</v>
      </c>
      <c r="D1204" s="54"/>
      <c r="E1204" s="54"/>
    </row>
    <row r="1205" spans="1:5" ht="15" customHeight="1">
      <c r="A1205" s="61" t="s">
        <v>723</v>
      </c>
      <c r="B1205" s="61" t="s">
        <v>722</v>
      </c>
      <c r="C1205" s="55">
        <v>54.56</v>
      </c>
      <c r="D1205" s="54"/>
      <c r="E1205" s="54"/>
    </row>
    <row r="1206" spans="1:5" ht="15" customHeight="1">
      <c r="A1206" s="61" t="s">
        <v>721</v>
      </c>
      <c r="B1206" s="61" t="s">
        <v>720</v>
      </c>
      <c r="C1206" s="55">
        <v>54.94</v>
      </c>
      <c r="D1206" s="54"/>
      <c r="E1206" s="54"/>
    </row>
    <row r="1207" spans="1:5" ht="15" customHeight="1">
      <c r="A1207" s="61" t="s">
        <v>719</v>
      </c>
      <c r="B1207" s="61" t="s">
        <v>718</v>
      </c>
      <c r="C1207" s="55">
        <v>229.25</v>
      </c>
      <c r="D1207" s="54"/>
      <c r="E1207" s="54"/>
    </row>
    <row r="1208" spans="1:5" ht="15" customHeight="1">
      <c r="A1208" s="61" t="s">
        <v>717</v>
      </c>
      <c r="B1208" s="61" t="s">
        <v>716</v>
      </c>
      <c r="C1208" s="55">
        <v>306</v>
      </c>
      <c r="D1208" s="54"/>
      <c r="E1208" s="54"/>
    </row>
    <row r="1209" spans="1:5" ht="15" customHeight="1">
      <c r="A1209" s="61" t="s">
        <v>715</v>
      </c>
      <c r="B1209" s="61" t="s">
        <v>714</v>
      </c>
      <c r="C1209" s="55">
        <v>3.9</v>
      </c>
      <c r="D1209" s="54"/>
      <c r="E1209" s="54"/>
    </row>
    <row r="1210" spans="1:5" ht="15" customHeight="1">
      <c r="A1210" s="61" t="s">
        <v>713</v>
      </c>
      <c r="B1210" s="61" t="s">
        <v>710</v>
      </c>
      <c r="C1210" s="55">
        <v>1.63</v>
      </c>
      <c r="D1210" s="54"/>
      <c r="E1210" s="54"/>
    </row>
    <row r="1211" spans="1:5" ht="15" customHeight="1">
      <c r="A1211" s="61" t="s">
        <v>712</v>
      </c>
      <c r="B1211" s="61" t="s">
        <v>710</v>
      </c>
      <c r="C1211" s="55">
        <v>1.63</v>
      </c>
      <c r="D1211" s="54"/>
      <c r="E1211" s="54"/>
    </row>
    <row r="1212" spans="1:5" ht="15" customHeight="1">
      <c r="A1212" s="61" t="s">
        <v>711</v>
      </c>
      <c r="B1212" s="61" t="s">
        <v>710</v>
      </c>
      <c r="C1212" s="55">
        <v>1.63</v>
      </c>
      <c r="D1212" s="54"/>
      <c r="E1212" s="54"/>
    </row>
    <row r="1213" spans="1:5" ht="15" customHeight="1">
      <c r="A1213" s="61" t="s">
        <v>709</v>
      </c>
      <c r="B1213" s="61" t="s">
        <v>708</v>
      </c>
      <c r="C1213" s="55">
        <v>422.79</v>
      </c>
      <c r="D1213" s="54"/>
      <c r="E1213" s="54"/>
    </row>
    <row r="1214" spans="1:5" ht="15" customHeight="1">
      <c r="A1214" s="61" t="s">
        <v>707</v>
      </c>
      <c r="B1214" s="61" t="s">
        <v>706</v>
      </c>
      <c r="C1214" s="55">
        <v>54.01</v>
      </c>
      <c r="D1214" s="54"/>
      <c r="E1214" s="54"/>
    </row>
    <row r="1215" spans="1:5" ht="15" customHeight="1">
      <c r="A1215" s="61" t="s">
        <v>705</v>
      </c>
      <c r="B1215" s="61" t="s">
        <v>704</v>
      </c>
      <c r="C1215" s="55">
        <v>46.16</v>
      </c>
      <c r="D1215" s="54"/>
      <c r="E1215" s="54"/>
    </row>
    <row r="1216" spans="1:5" ht="15" customHeight="1">
      <c r="A1216" s="61" t="s">
        <v>703</v>
      </c>
      <c r="B1216" s="61" t="s">
        <v>701</v>
      </c>
      <c r="C1216" s="55">
        <v>816</v>
      </c>
      <c r="D1216" s="54"/>
      <c r="E1216" s="54"/>
    </row>
    <row r="1217" spans="1:5" ht="15" customHeight="1">
      <c r="A1217" s="61" t="s">
        <v>702</v>
      </c>
      <c r="B1217" s="61" t="s">
        <v>701</v>
      </c>
      <c r="C1217" s="55">
        <v>239.4</v>
      </c>
      <c r="D1217" s="54"/>
      <c r="E1217" s="54"/>
    </row>
    <row r="1218" spans="1:5" ht="15" customHeight="1">
      <c r="A1218" s="61" t="s">
        <v>700</v>
      </c>
      <c r="B1218" s="61" t="s">
        <v>699</v>
      </c>
      <c r="C1218" s="55">
        <v>158.84</v>
      </c>
      <c r="D1218" s="54"/>
      <c r="E1218" s="54"/>
    </row>
    <row r="1219" spans="1:5" ht="15" customHeight="1">
      <c r="A1219" s="61" t="s">
        <v>698</v>
      </c>
      <c r="B1219" s="61" t="s">
        <v>697</v>
      </c>
      <c r="C1219" s="55">
        <v>24.82</v>
      </c>
      <c r="D1219" s="54"/>
      <c r="E1219" s="54"/>
    </row>
    <row r="1220" spans="1:5" ht="15" customHeight="1">
      <c r="A1220" s="61" t="s">
        <v>696</v>
      </c>
      <c r="B1220" s="61" t="s">
        <v>695</v>
      </c>
      <c r="C1220" s="55">
        <v>119</v>
      </c>
      <c r="D1220" s="54"/>
      <c r="E1220" s="54"/>
    </row>
    <row r="1221" spans="1:5" ht="15" customHeight="1">
      <c r="A1221" s="61" t="s">
        <v>694</v>
      </c>
      <c r="B1221" s="61" t="s">
        <v>693</v>
      </c>
      <c r="C1221" s="55">
        <v>195</v>
      </c>
      <c r="D1221" s="54"/>
      <c r="E1221" s="54"/>
    </row>
    <row r="1222" spans="1:5" ht="15" customHeight="1">
      <c r="A1222" s="61" t="s">
        <v>692</v>
      </c>
      <c r="B1222" s="61" t="s">
        <v>691</v>
      </c>
      <c r="C1222" s="55">
        <v>1.18</v>
      </c>
      <c r="D1222" s="54"/>
      <c r="E1222" s="54"/>
    </row>
    <row r="1223" spans="1:5" ht="15" customHeight="1">
      <c r="A1223" s="61" t="s">
        <v>690</v>
      </c>
      <c r="B1223" s="61" t="s">
        <v>689</v>
      </c>
      <c r="C1223" s="55">
        <v>1</v>
      </c>
      <c r="D1223" s="54"/>
      <c r="E1223" s="54"/>
    </row>
    <row r="1224" spans="1:5" ht="15" customHeight="1">
      <c r="A1224" s="61" t="s">
        <v>688</v>
      </c>
      <c r="B1224" s="61" t="s">
        <v>687</v>
      </c>
      <c r="C1224" s="55">
        <v>0.5</v>
      </c>
      <c r="D1224" s="54"/>
      <c r="E1224" s="54"/>
    </row>
    <row r="1225" spans="1:5" ht="15" customHeight="1">
      <c r="A1225" s="61" t="s">
        <v>686</v>
      </c>
      <c r="B1225" s="61" t="s">
        <v>685</v>
      </c>
      <c r="C1225" s="55">
        <v>4.08</v>
      </c>
      <c r="D1225" s="54"/>
      <c r="E1225" s="54"/>
    </row>
    <row r="1226" spans="1:5" ht="15" customHeight="1">
      <c r="A1226" s="61" t="s">
        <v>684</v>
      </c>
      <c r="B1226" s="61" t="s">
        <v>683</v>
      </c>
      <c r="C1226" s="55">
        <v>2.52</v>
      </c>
      <c r="D1226" s="54"/>
      <c r="E1226" s="54"/>
    </row>
    <row r="1227" spans="1:5" ht="15" customHeight="1">
      <c r="A1227" s="61" t="s">
        <v>682</v>
      </c>
      <c r="B1227" s="61" t="s">
        <v>681</v>
      </c>
      <c r="C1227" s="55">
        <v>4.62</v>
      </c>
      <c r="D1227" s="54"/>
      <c r="E1227" s="54"/>
    </row>
    <row r="1228" spans="1:5" ht="15" customHeight="1">
      <c r="A1228" s="61" t="s">
        <v>680</v>
      </c>
      <c r="B1228" s="61" t="s">
        <v>679</v>
      </c>
      <c r="C1228" s="55">
        <v>4.62</v>
      </c>
      <c r="D1228" s="54"/>
      <c r="E1228" s="54"/>
    </row>
    <row r="1229" spans="1:5" ht="15" customHeight="1">
      <c r="A1229" s="61" t="s">
        <v>678</v>
      </c>
      <c r="B1229" s="61" t="s">
        <v>677</v>
      </c>
      <c r="C1229" s="55">
        <v>15.51</v>
      </c>
      <c r="D1229" s="54"/>
      <c r="E1229" s="54"/>
    </row>
    <row r="1230" spans="1:5" ht="15" customHeight="1">
      <c r="A1230" s="61" t="s">
        <v>676</v>
      </c>
      <c r="B1230" s="61" t="s">
        <v>651</v>
      </c>
      <c r="C1230" s="55">
        <v>23.24</v>
      </c>
      <c r="D1230" s="54"/>
      <c r="E1230" s="54"/>
    </row>
    <row r="1231" spans="1:5" ht="15" customHeight="1">
      <c r="A1231" s="61" t="s">
        <v>675</v>
      </c>
      <c r="B1231" s="61" t="s">
        <v>674</v>
      </c>
      <c r="C1231" s="55">
        <v>54.12</v>
      </c>
      <c r="D1231" s="54"/>
      <c r="E1231" s="54"/>
    </row>
    <row r="1232" spans="1:5" ht="15" customHeight="1">
      <c r="A1232" s="61" t="s">
        <v>673</v>
      </c>
      <c r="B1232" s="61" t="s">
        <v>614</v>
      </c>
      <c r="C1232" s="55">
        <v>7.25</v>
      </c>
      <c r="D1232" s="54"/>
      <c r="E1232" s="54"/>
    </row>
    <row r="1233" spans="1:5" ht="15" customHeight="1">
      <c r="A1233" s="61" t="s">
        <v>672</v>
      </c>
      <c r="B1233" s="61" t="s">
        <v>671</v>
      </c>
      <c r="C1233" s="55">
        <v>16.16</v>
      </c>
      <c r="D1233" s="54"/>
      <c r="E1233" s="54"/>
    </row>
    <row r="1234" spans="1:5" ht="15" customHeight="1">
      <c r="A1234" s="61" t="s">
        <v>670</v>
      </c>
      <c r="B1234" s="61" t="s">
        <v>669</v>
      </c>
      <c r="C1234" s="55">
        <v>10.74</v>
      </c>
      <c r="D1234" s="54"/>
      <c r="E1234" s="54"/>
    </row>
    <row r="1235" spans="1:5" ht="15" customHeight="1">
      <c r="A1235" s="61" t="s">
        <v>668</v>
      </c>
      <c r="B1235" s="61" t="s">
        <v>667</v>
      </c>
      <c r="C1235" s="55">
        <v>20.22</v>
      </c>
      <c r="D1235" s="54"/>
      <c r="E1235" s="54"/>
    </row>
    <row r="1236" spans="1:5" ht="15" customHeight="1">
      <c r="A1236" s="61" t="s">
        <v>666</v>
      </c>
      <c r="B1236" s="61" t="s">
        <v>665</v>
      </c>
      <c r="C1236" s="55">
        <v>202.08</v>
      </c>
      <c r="D1236" s="54"/>
      <c r="E1236" s="54"/>
    </row>
    <row r="1237" spans="1:5" ht="15" customHeight="1">
      <c r="A1237" s="61" t="s">
        <v>664</v>
      </c>
      <c r="B1237" s="61" t="s">
        <v>614</v>
      </c>
      <c r="C1237" s="55">
        <v>7.25</v>
      </c>
      <c r="D1237" s="54"/>
      <c r="E1237" s="54"/>
    </row>
    <row r="1238" spans="1:5" ht="15" customHeight="1">
      <c r="A1238" s="61" t="s">
        <v>663</v>
      </c>
      <c r="B1238" s="61" t="s">
        <v>662</v>
      </c>
      <c r="C1238" s="55">
        <v>46.68</v>
      </c>
      <c r="D1238" s="54"/>
      <c r="E1238" s="54"/>
    </row>
    <row r="1239" spans="1:5" ht="15" customHeight="1">
      <c r="A1239" s="61" t="s">
        <v>661</v>
      </c>
      <c r="B1239" s="61" t="s">
        <v>660</v>
      </c>
      <c r="C1239" s="55">
        <v>94</v>
      </c>
      <c r="D1239" s="54"/>
      <c r="E1239" s="54"/>
    </row>
    <row r="1240" spans="1:5" ht="15" customHeight="1">
      <c r="A1240" s="61" t="s">
        <v>659</v>
      </c>
      <c r="B1240" s="61" t="s">
        <v>658</v>
      </c>
      <c r="C1240" s="55">
        <v>7.51</v>
      </c>
      <c r="D1240" s="54"/>
      <c r="E1240" s="54"/>
    </row>
    <row r="1241" spans="1:5" ht="15" customHeight="1">
      <c r="A1241" s="61" t="s">
        <v>657</v>
      </c>
      <c r="B1241" s="61" t="s">
        <v>656</v>
      </c>
      <c r="C1241" s="55">
        <v>54.12</v>
      </c>
      <c r="D1241" s="54"/>
      <c r="E1241" s="54"/>
    </row>
    <row r="1242" spans="1:5" ht="15" customHeight="1">
      <c r="A1242" s="61" t="s">
        <v>655</v>
      </c>
      <c r="B1242" s="61" t="s">
        <v>614</v>
      </c>
      <c r="C1242" s="55">
        <v>7.25</v>
      </c>
      <c r="D1242" s="54"/>
      <c r="E1242" s="54"/>
    </row>
    <row r="1243" spans="1:5" ht="15" customHeight="1">
      <c r="A1243" s="61" t="s">
        <v>654</v>
      </c>
      <c r="B1243" s="61" t="s">
        <v>653</v>
      </c>
      <c r="C1243" s="55">
        <v>13.56</v>
      </c>
      <c r="D1243" s="54"/>
      <c r="E1243" s="54"/>
    </row>
    <row r="1244" spans="1:5" ht="15" customHeight="1">
      <c r="A1244" s="61" t="s">
        <v>652</v>
      </c>
      <c r="B1244" s="61" t="s">
        <v>651</v>
      </c>
      <c r="C1244" s="55">
        <v>12.08</v>
      </c>
      <c r="D1244" s="54"/>
      <c r="E1244" s="54"/>
    </row>
    <row r="1245" spans="1:5" ht="15" customHeight="1">
      <c r="A1245" s="61" t="s">
        <v>650</v>
      </c>
      <c r="B1245" s="61" t="s">
        <v>649</v>
      </c>
      <c r="C1245" s="55">
        <v>90.01</v>
      </c>
      <c r="D1245" s="54"/>
      <c r="E1245" s="54"/>
    </row>
    <row r="1246" spans="1:5" ht="15" customHeight="1">
      <c r="A1246" s="61" t="s">
        <v>648</v>
      </c>
      <c r="B1246" s="61" t="s">
        <v>647</v>
      </c>
      <c r="C1246" s="55">
        <v>17.399999999999999</v>
      </c>
      <c r="D1246" s="54"/>
      <c r="E1246" s="54"/>
    </row>
    <row r="1247" spans="1:5" ht="15" customHeight="1">
      <c r="A1247" s="61" t="s">
        <v>646</v>
      </c>
      <c r="B1247" s="61" t="s">
        <v>645</v>
      </c>
      <c r="C1247" s="55">
        <v>61.14</v>
      </c>
      <c r="D1247" s="54"/>
      <c r="E1247" s="54"/>
    </row>
    <row r="1248" spans="1:5" ht="15" customHeight="1">
      <c r="A1248" s="61" t="s">
        <v>644</v>
      </c>
      <c r="B1248" s="61" t="s">
        <v>643</v>
      </c>
      <c r="C1248" s="55">
        <v>7.54</v>
      </c>
      <c r="D1248" s="54"/>
      <c r="E1248" s="54"/>
    </row>
    <row r="1249" spans="1:5" ht="15" customHeight="1">
      <c r="A1249" s="61" t="s">
        <v>642</v>
      </c>
      <c r="B1249" s="61" t="s">
        <v>641</v>
      </c>
      <c r="C1249" s="55">
        <v>150.94</v>
      </c>
      <c r="D1249" s="54"/>
      <c r="E1249" s="54"/>
    </row>
    <row r="1250" spans="1:5" ht="15" customHeight="1">
      <c r="A1250" s="61" t="s">
        <v>640</v>
      </c>
      <c r="B1250" s="61" t="s">
        <v>614</v>
      </c>
      <c r="C1250" s="55">
        <v>17.399999999999999</v>
      </c>
      <c r="D1250" s="54"/>
      <c r="E1250" s="54"/>
    </row>
    <row r="1251" spans="1:5" ht="15" customHeight="1">
      <c r="A1251" s="61" t="s">
        <v>639</v>
      </c>
      <c r="B1251" s="61" t="s">
        <v>638</v>
      </c>
      <c r="C1251" s="55">
        <v>18.100000000000001</v>
      </c>
      <c r="D1251" s="54"/>
      <c r="E1251" s="54"/>
    </row>
    <row r="1252" spans="1:5" ht="15" customHeight="1">
      <c r="A1252" s="61" t="s">
        <v>637</v>
      </c>
      <c r="B1252" s="61" t="s">
        <v>636</v>
      </c>
      <c r="C1252" s="55">
        <v>50.71</v>
      </c>
      <c r="D1252" s="54"/>
      <c r="E1252" s="54"/>
    </row>
    <row r="1253" spans="1:5" ht="15" customHeight="1">
      <c r="A1253" s="61" t="s">
        <v>635</v>
      </c>
      <c r="B1253" s="61" t="s">
        <v>634</v>
      </c>
      <c r="C1253" s="55">
        <v>34.619999999999997</v>
      </c>
      <c r="D1253" s="54"/>
      <c r="E1253" s="54"/>
    </row>
    <row r="1254" spans="1:5" ht="15" customHeight="1">
      <c r="A1254" s="61" t="s">
        <v>633</v>
      </c>
      <c r="B1254" s="61" t="s">
        <v>632</v>
      </c>
      <c r="C1254" s="55">
        <v>21.24</v>
      </c>
      <c r="D1254" s="54"/>
      <c r="E1254" s="54"/>
    </row>
    <row r="1255" spans="1:5" ht="15" customHeight="1">
      <c r="A1255" s="61" t="s">
        <v>631</v>
      </c>
      <c r="B1255" s="61" t="s">
        <v>630</v>
      </c>
      <c r="C1255" s="55">
        <v>69.010000000000005</v>
      </c>
      <c r="D1255" s="54"/>
      <c r="E1255" s="54"/>
    </row>
    <row r="1256" spans="1:5" ht="15" customHeight="1">
      <c r="A1256" s="61" t="s">
        <v>629</v>
      </c>
      <c r="B1256" s="61" t="s">
        <v>628</v>
      </c>
      <c r="C1256" s="55">
        <v>51.82</v>
      </c>
      <c r="D1256" s="54"/>
      <c r="E1256" s="54"/>
    </row>
    <row r="1257" spans="1:5" ht="15" customHeight="1">
      <c r="A1257" s="61" t="s">
        <v>627</v>
      </c>
      <c r="B1257" s="61" t="s">
        <v>626</v>
      </c>
      <c r="C1257" s="55">
        <v>10.49</v>
      </c>
      <c r="D1257" s="54"/>
      <c r="E1257" s="54"/>
    </row>
    <row r="1258" spans="1:5" ht="15" customHeight="1">
      <c r="A1258" s="61" t="s">
        <v>625</v>
      </c>
      <c r="B1258" s="61" t="s">
        <v>624</v>
      </c>
      <c r="C1258" s="55">
        <v>167.14</v>
      </c>
      <c r="D1258" s="54"/>
      <c r="E1258" s="54"/>
    </row>
    <row r="1259" spans="1:5" ht="15" customHeight="1">
      <c r="A1259" s="61" t="s">
        <v>623</v>
      </c>
      <c r="B1259" s="61" t="s">
        <v>622</v>
      </c>
      <c r="C1259" s="55">
        <v>13.06</v>
      </c>
      <c r="D1259" s="54"/>
      <c r="E1259" s="54"/>
    </row>
    <row r="1260" spans="1:5" ht="15" customHeight="1">
      <c r="A1260" s="61" t="s">
        <v>621</v>
      </c>
      <c r="B1260" s="61" t="s">
        <v>620</v>
      </c>
      <c r="C1260" s="55">
        <v>117.04</v>
      </c>
      <c r="D1260" s="54"/>
      <c r="E1260" s="54"/>
    </row>
    <row r="1261" spans="1:5" ht="15" customHeight="1">
      <c r="A1261" s="61" t="s">
        <v>619</v>
      </c>
      <c r="B1261" s="61" t="s">
        <v>618</v>
      </c>
      <c r="C1261" s="55">
        <v>67.92</v>
      </c>
      <c r="D1261" s="54"/>
      <c r="E1261" s="54"/>
    </row>
    <row r="1262" spans="1:5" ht="15" customHeight="1">
      <c r="A1262" s="61" t="s">
        <v>617</v>
      </c>
      <c r="B1262" s="61" t="s">
        <v>616</v>
      </c>
      <c r="C1262" s="55">
        <v>83.35</v>
      </c>
      <c r="D1262" s="54"/>
      <c r="E1262" s="54"/>
    </row>
    <row r="1263" spans="1:5" ht="15" customHeight="1">
      <c r="A1263" s="61" t="s">
        <v>615</v>
      </c>
      <c r="B1263" s="61" t="s">
        <v>614</v>
      </c>
      <c r="C1263" s="55">
        <v>6.9</v>
      </c>
      <c r="D1263" s="54"/>
      <c r="E1263" s="54"/>
    </row>
    <row r="1264" spans="1:5" ht="15" customHeight="1">
      <c r="A1264" s="61" t="s">
        <v>613</v>
      </c>
      <c r="B1264" s="61" t="s">
        <v>612</v>
      </c>
      <c r="C1264" s="55">
        <v>7.52</v>
      </c>
      <c r="D1264" s="54"/>
      <c r="E1264" s="54"/>
    </row>
    <row r="1265" spans="1:5" ht="15" customHeight="1">
      <c r="A1265" s="61" t="s">
        <v>611</v>
      </c>
      <c r="B1265" s="61" t="s">
        <v>610</v>
      </c>
      <c r="C1265" s="55">
        <v>58.46</v>
      </c>
      <c r="D1265" s="54"/>
      <c r="E1265" s="54"/>
    </row>
    <row r="1266" spans="1:5" ht="15" customHeight="1">
      <c r="A1266" s="61" t="s">
        <v>609</v>
      </c>
      <c r="B1266" s="61" t="s">
        <v>608</v>
      </c>
      <c r="C1266" s="55">
        <v>1.68</v>
      </c>
      <c r="D1266" s="54"/>
      <c r="E1266" s="54"/>
    </row>
    <row r="1267" spans="1:5" ht="15" customHeight="1">
      <c r="A1267" s="61" t="s">
        <v>607</v>
      </c>
      <c r="B1267" s="61" t="s">
        <v>605</v>
      </c>
      <c r="C1267" s="55">
        <v>279.48</v>
      </c>
      <c r="D1267" s="54"/>
      <c r="E1267" s="54"/>
    </row>
    <row r="1268" spans="1:5" ht="15" customHeight="1">
      <c r="A1268" s="61" t="s">
        <v>606</v>
      </c>
      <c r="B1268" s="61" t="s">
        <v>605</v>
      </c>
      <c r="C1268" s="55">
        <v>279.48</v>
      </c>
      <c r="D1268" s="54"/>
      <c r="E1268" s="54"/>
    </row>
    <row r="1269" spans="1:5" ht="15" customHeight="1">
      <c r="A1269" s="61" t="s">
        <v>604</v>
      </c>
      <c r="B1269" s="61" t="s">
        <v>603</v>
      </c>
      <c r="C1269" s="55">
        <v>815.56</v>
      </c>
      <c r="D1269" s="54"/>
      <c r="E1269" s="54"/>
    </row>
    <row r="1270" spans="1:5" ht="15" customHeight="1">
      <c r="A1270" s="61" t="s">
        <v>602</v>
      </c>
      <c r="B1270" s="61" t="s">
        <v>515</v>
      </c>
      <c r="C1270" s="55">
        <v>181.56</v>
      </c>
      <c r="D1270" s="54"/>
      <c r="E1270" s="54"/>
    </row>
    <row r="1271" spans="1:5" ht="15" customHeight="1">
      <c r="A1271" s="61" t="s">
        <v>601</v>
      </c>
      <c r="B1271" s="61" t="s">
        <v>600</v>
      </c>
      <c r="C1271" s="55">
        <v>6.46</v>
      </c>
      <c r="D1271" s="54"/>
      <c r="E1271" s="54"/>
    </row>
    <row r="1272" spans="1:5" ht="15" customHeight="1">
      <c r="A1272" s="61" t="s">
        <v>599</v>
      </c>
      <c r="B1272" s="61" t="s">
        <v>598</v>
      </c>
      <c r="C1272" s="55">
        <v>87.53</v>
      </c>
      <c r="D1272" s="54"/>
      <c r="E1272" s="54"/>
    </row>
    <row r="1273" spans="1:5" ht="15" customHeight="1">
      <c r="A1273" s="61" t="s">
        <v>597</v>
      </c>
      <c r="B1273" s="61" t="s">
        <v>596</v>
      </c>
      <c r="C1273" s="55">
        <v>163.5</v>
      </c>
      <c r="D1273" s="54"/>
      <c r="E1273" s="54"/>
    </row>
    <row r="1274" spans="1:5" ht="15" customHeight="1">
      <c r="A1274" s="61" t="s">
        <v>595</v>
      </c>
      <c r="B1274" s="61" t="s">
        <v>594</v>
      </c>
      <c r="C1274" s="55">
        <v>149.08000000000001</v>
      </c>
      <c r="D1274" s="54"/>
      <c r="E1274" s="54"/>
    </row>
    <row r="1275" spans="1:5" ht="15" customHeight="1">
      <c r="A1275" s="61" t="s">
        <v>593</v>
      </c>
      <c r="B1275" s="61" t="s">
        <v>591</v>
      </c>
      <c r="C1275" s="55">
        <v>119</v>
      </c>
      <c r="D1275" s="54"/>
      <c r="E1275" s="54"/>
    </row>
    <row r="1276" spans="1:5" ht="15" customHeight="1">
      <c r="A1276" s="61" t="s">
        <v>592</v>
      </c>
      <c r="B1276" s="61" t="s">
        <v>591</v>
      </c>
      <c r="C1276" s="55">
        <v>117.02</v>
      </c>
      <c r="D1276" s="54"/>
      <c r="E1276" s="54"/>
    </row>
    <row r="1277" spans="1:5" ht="15" customHeight="1">
      <c r="A1277" s="61" t="s">
        <v>590</v>
      </c>
      <c r="B1277" s="61" t="s">
        <v>589</v>
      </c>
      <c r="C1277" s="55">
        <v>5.78</v>
      </c>
      <c r="D1277" s="54"/>
      <c r="E1277" s="54"/>
    </row>
    <row r="1278" spans="1:5" ht="15" customHeight="1">
      <c r="A1278" s="61" t="s">
        <v>588</v>
      </c>
      <c r="B1278" s="61" t="s">
        <v>587</v>
      </c>
      <c r="C1278" s="55">
        <v>572.41999999999996</v>
      </c>
      <c r="D1278" s="54"/>
      <c r="E1278" s="54"/>
    </row>
    <row r="1279" spans="1:5" ht="15" customHeight="1">
      <c r="A1279" s="61" t="s">
        <v>586</v>
      </c>
      <c r="B1279" s="61" t="s">
        <v>585</v>
      </c>
      <c r="C1279" s="55">
        <v>2</v>
      </c>
      <c r="D1279" s="54"/>
      <c r="E1279" s="54"/>
    </row>
    <row r="1280" spans="1:5" ht="15" customHeight="1">
      <c r="A1280" s="61" t="s">
        <v>584</v>
      </c>
      <c r="B1280" s="61" t="s">
        <v>583</v>
      </c>
      <c r="C1280" s="55">
        <v>595.66999999999996</v>
      </c>
      <c r="D1280" s="54"/>
      <c r="E1280" s="54"/>
    </row>
    <row r="1281" spans="1:5" ht="15" customHeight="1">
      <c r="A1281" s="61" t="s">
        <v>582</v>
      </c>
      <c r="B1281" s="61" t="s">
        <v>581</v>
      </c>
      <c r="C1281" s="55">
        <v>625.30999999999995</v>
      </c>
      <c r="D1281" s="54"/>
      <c r="E1281" s="54"/>
    </row>
    <row r="1282" spans="1:5" ht="15" customHeight="1">
      <c r="A1282" s="61" t="s">
        <v>580</v>
      </c>
      <c r="B1282" s="61" t="s">
        <v>579</v>
      </c>
      <c r="C1282" s="55">
        <v>1056.53</v>
      </c>
      <c r="D1282" s="54"/>
      <c r="E1282" s="54"/>
    </row>
    <row r="1283" spans="1:5" ht="15" customHeight="1">
      <c r="A1283" s="61" t="s">
        <v>578</v>
      </c>
      <c r="B1283" s="61" t="s">
        <v>577</v>
      </c>
      <c r="C1283" s="55">
        <v>1612.12</v>
      </c>
      <c r="D1283" s="54"/>
      <c r="E1283" s="54"/>
    </row>
    <row r="1284" spans="1:5" ht="15" customHeight="1">
      <c r="A1284" s="61" t="s">
        <v>576</v>
      </c>
      <c r="B1284" s="61" t="s">
        <v>575</v>
      </c>
      <c r="C1284" s="55">
        <v>47.78</v>
      </c>
      <c r="D1284" s="54"/>
      <c r="E1284" s="54"/>
    </row>
    <row r="1285" spans="1:5" ht="15" customHeight="1">
      <c r="A1285" s="61" t="s">
        <v>574</v>
      </c>
      <c r="B1285" s="61" t="s">
        <v>573</v>
      </c>
      <c r="C1285" s="55">
        <v>30.62</v>
      </c>
      <c r="D1285" s="54"/>
      <c r="E1285" s="54"/>
    </row>
    <row r="1286" spans="1:5" ht="15" customHeight="1">
      <c r="A1286" s="61" t="s">
        <v>572</v>
      </c>
      <c r="B1286" s="61" t="s">
        <v>571</v>
      </c>
      <c r="C1286" s="55">
        <v>609.54</v>
      </c>
      <c r="D1286" s="54"/>
      <c r="E1286" s="54"/>
    </row>
    <row r="1287" spans="1:5" ht="15" customHeight="1">
      <c r="A1287" s="61" t="s">
        <v>570</v>
      </c>
      <c r="B1287" s="61" t="s">
        <v>503</v>
      </c>
      <c r="C1287" s="55">
        <v>374.68</v>
      </c>
      <c r="D1287" s="54"/>
      <c r="E1287" s="54"/>
    </row>
    <row r="1288" spans="1:5" ht="15" customHeight="1">
      <c r="A1288" s="61" t="s">
        <v>569</v>
      </c>
      <c r="B1288" s="61" t="s">
        <v>568</v>
      </c>
      <c r="C1288" s="55">
        <v>185.24</v>
      </c>
      <c r="D1288" s="54"/>
      <c r="E1288" s="54"/>
    </row>
    <row r="1289" spans="1:5" ht="15" customHeight="1">
      <c r="A1289" s="61" t="s">
        <v>567</v>
      </c>
      <c r="B1289" s="61" t="s">
        <v>566</v>
      </c>
      <c r="C1289" s="55">
        <v>91.45</v>
      </c>
      <c r="D1289" s="54"/>
      <c r="E1289" s="54"/>
    </row>
    <row r="1290" spans="1:5" ht="15" customHeight="1">
      <c r="A1290" s="61" t="s">
        <v>565</v>
      </c>
      <c r="B1290" s="61" t="s">
        <v>564</v>
      </c>
      <c r="C1290" s="55">
        <v>959.11</v>
      </c>
      <c r="D1290" s="54"/>
      <c r="E1290" s="54"/>
    </row>
    <row r="1291" spans="1:5" ht="15" customHeight="1">
      <c r="A1291" s="61" t="s">
        <v>563</v>
      </c>
      <c r="B1291" s="61" t="s">
        <v>562</v>
      </c>
      <c r="C1291" s="55">
        <v>1072.9000000000001</v>
      </c>
      <c r="D1291" s="54"/>
      <c r="E1291" s="54"/>
    </row>
    <row r="1292" spans="1:5" ht="15" customHeight="1">
      <c r="A1292" s="61" t="s">
        <v>561</v>
      </c>
      <c r="B1292" s="61" t="s">
        <v>560</v>
      </c>
      <c r="C1292" s="55">
        <v>136.54</v>
      </c>
      <c r="D1292" s="54"/>
      <c r="E1292" s="54"/>
    </row>
    <row r="1293" spans="1:5" ht="15" customHeight="1">
      <c r="A1293" s="61" t="s">
        <v>559</v>
      </c>
      <c r="B1293" s="61" t="s">
        <v>558</v>
      </c>
      <c r="C1293" s="55">
        <v>81</v>
      </c>
      <c r="D1293" s="54"/>
      <c r="E1293" s="54"/>
    </row>
    <row r="1294" spans="1:5" ht="15" customHeight="1">
      <c r="A1294" s="61" t="s">
        <v>557</v>
      </c>
      <c r="B1294" s="61" t="s">
        <v>556</v>
      </c>
      <c r="C1294" s="55">
        <v>234</v>
      </c>
      <c r="D1294" s="54"/>
      <c r="E1294" s="54"/>
    </row>
    <row r="1295" spans="1:5" ht="15" customHeight="1">
      <c r="A1295" s="61" t="s">
        <v>555</v>
      </c>
      <c r="B1295" s="61" t="s">
        <v>554</v>
      </c>
      <c r="C1295" s="55">
        <v>800</v>
      </c>
      <c r="D1295" s="54"/>
      <c r="E1295" s="54"/>
    </row>
    <row r="1296" spans="1:5" ht="15" customHeight="1">
      <c r="A1296" s="61" t="s">
        <v>553</v>
      </c>
      <c r="B1296" s="61" t="s">
        <v>552</v>
      </c>
      <c r="C1296" s="55">
        <v>698.19</v>
      </c>
      <c r="D1296" s="54"/>
      <c r="E1296" s="54"/>
    </row>
    <row r="1297" spans="1:5" ht="15" customHeight="1">
      <c r="A1297" s="61" t="s">
        <v>551</v>
      </c>
      <c r="B1297" s="61" t="s">
        <v>550</v>
      </c>
      <c r="C1297" s="55">
        <v>281.47000000000003</v>
      </c>
      <c r="D1297" s="54"/>
      <c r="E1297" s="54"/>
    </row>
    <row r="1298" spans="1:5" ht="15" customHeight="1">
      <c r="A1298" s="61" t="s">
        <v>549</v>
      </c>
      <c r="B1298" s="61" t="s">
        <v>547</v>
      </c>
      <c r="C1298" s="55">
        <v>296.20999999999998</v>
      </c>
      <c r="D1298" s="54"/>
      <c r="E1298" s="54"/>
    </row>
    <row r="1299" spans="1:5" ht="15" customHeight="1">
      <c r="A1299" s="61" t="s">
        <v>548</v>
      </c>
      <c r="B1299" s="61" t="s">
        <v>547</v>
      </c>
      <c r="C1299" s="55">
        <v>195.76</v>
      </c>
      <c r="D1299" s="54"/>
      <c r="E1299" s="54"/>
    </row>
    <row r="1300" spans="1:5" ht="15" customHeight="1">
      <c r="A1300" s="61" t="s">
        <v>546</v>
      </c>
      <c r="B1300" s="61" t="s">
        <v>545</v>
      </c>
      <c r="C1300" s="55">
        <v>157.21</v>
      </c>
      <c r="D1300" s="54"/>
      <c r="E1300" s="54"/>
    </row>
    <row r="1301" spans="1:5" ht="15" customHeight="1">
      <c r="A1301" s="61" t="s">
        <v>544</v>
      </c>
      <c r="B1301" s="61" t="s">
        <v>543</v>
      </c>
      <c r="C1301" s="55">
        <v>984.21</v>
      </c>
      <c r="D1301" s="54"/>
      <c r="E1301" s="54"/>
    </row>
    <row r="1302" spans="1:5" ht="15" customHeight="1">
      <c r="A1302" s="61" t="s">
        <v>542</v>
      </c>
      <c r="B1302" s="61" t="s">
        <v>541</v>
      </c>
      <c r="C1302" s="55">
        <v>290.22000000000003</v>
      </c>
      <c r="D1302" s="54"/>
      <c r="E1302" s="54"/>
    </row>
    <row r="1303" spans="1:5" ht="15" customHeight="1">
      <c r="A1303" s="61" t="s">
        <v>540</v>
      </c>
      <c r="B1303" s="61" t="s">
        <v>539</v>
      </c>
      <c r="C1303" s="55">
        <v>404.16</v>
      </c>
      <c r="D1303" s="54"/>
      <c r="E1303" s="54"/>
    </row>
    <row r="1304" spans="1:5" ht="15" customHeight="1">
      <c r="A1304" s="61" t="s">
        <v>538</v>
      </c>
      <c r="B1304" s="61" t="s">
        <v>537</v>
      </c>
      <c r="C1304" s="55">
        <v>815.56</v>
      </c>
      <c r="D1304" s="54"/>
      <c r="E1304" s="54"/>
    </row>
    <row r="1305" spans="1:5" ht="15" customHeight="1">
      <c r="A1305" s="61" t="s">
        <v>536</v>
      </c>
      <c r="B1305" s="61" t="s">
        <v>535</v>
      </c>
      <c r="C1305" s="55">
        <v>720</v>
      </c>
      <c r="D1305" s="54"/>
      <c r="E1305" s="54"/>
    </row>
    <row r="1306" spans="1:5" ht="15" customHeight="1">
      <c r="A1306" s="61" t="s">
        <v>534</v>
      </c>
      <c r="B1306" s="61" t="s">
        <v>533</v>
      </c>
      <c r="C1306" s="55">
        <v>221.4</v>
      </c>
      <c r="D1306" s="54"/>
      <c r="E1306" s="54"/>
    </row>
    <row r="1307" spans="1:5" ht="15" customHeight="1">
      <c r="A1307" s="61" t="s">
        <v>532</v>
      </c>
      <c r="B1307" s="61" t="s">
        <v>531</v>
      </c>
      <c r="C1307" s="55">
        <v>665.28</v>
      </c>
      <c r="D1307" s="54"/>
      <c r="E1307" s="54"/>
    </row>
    <row r="1308" spans="1:5" ht="15" customHeight="1">
      <c r="A1308" s="61" t="s">
        <v>530</v>
      </c>
      <c r="B1308" s="61" t="s">
        <v>529</v>
      </c>
      <c r="C1308" s="55">
        <v>128.34</v>
      </c>
      <c r="D1308" s="54"/>
      <c r="E1308" s="54"/>
    </row>
    <row r="1309" spans="1:5" ht="15" customHeight="1">
      <c r="A1309" s="61" t="s">
        <v>528</v>
      </c>
      <c r="B1309" s="61" t="s">
        <v>527</v>
      </c>
      <c r="C1309" s="55">
        <v>184.99</v>
      </c>
      <c r="D1309" s="54"/>
      <c r="E1309" s="54"/>
    </row>
    <row r="1310" spans="1:5" ht="15" customHeight="1">
      <c r="A1310" s="61" t="s">
        <v>526</v>
      </c>
      <c r="B1310" s="61" t="s">
        <v>525</v>
      </c>
      <c r="C1310" s="55">
        <v>712.38</v>
      </c>
      <c r="D1310" s="54"/>
      <c r="E1310" s="54"/>
    </row>
    <row r="1311" spans="1:5" ht="15" customHeight="1">
      <c r="A1311" s="61" t="s">
        <v>524</v>
      </c>
      <c r="B1311" s="61" t="s">
        <v>523</v>
      </c>
      <c r="C1311" s="55">
        <v>651.96</v>
      </c>
      <c r="D1311" s="54"/>
      <c r="E1311" s="54"/>
    </row>
    <row r="1312" spans="1:5" ht="15" customHeight="1">
      <c r="A1312" s="61" t="s">
        <v>522</v>
      </c>
      <c r="B1312" s="61" t="s">
        <v>521</v>
      </c>
      <c r="C1312" s="55">
        <v>807.84</v>
      </c>
      <c r="D1312" s="54"/>
      <c r="E1312" s="54"/>
    </row>
    <row r="1313" spans="1:5" ht="15" customHeight="1">
      <c r="A1313" s="61" t="s">
        <v>520</v>
      </c>
      <c r="B1313" s="61" t="s">
        <v>519</v>
      </c>
      <c r="C1313" s="55">
        <v>399.6</v>
      </c>
      <c r="D1313" s="54"/>
      <c r="E1313" s="54"/>
    </row>
    <row r="1314" spans="1:5" ht="15" customHeight="1">
      <c r="A1314" s="61" t="s">
        <v>518</v>
      </c>
      <c r="B1314" s="61" t="s">
        <v>517</v>
      </c>
      <c r="C1314" s="55">
        <v>321.3</v>
      </c>
      <c r="D1314" s="54"/>
      <c r="E1314" s="54"/>
    </row>
    <row r="1315" spans="1:5" ht="15" customHeight="1">
      <c r="A1315" s="61" t="s">
        <v>516</v>
      </c>
      <c r="B1315" s="61" t="s">
        <v>515</v>
      </c>
      <c r="C1315" s="55">
        <v>501.58</v>
      </c>
      <c r="D1315" s="54"/>
      <c r="E1315" s="54"/>
    </row>
    <row r="1316" spans="1:5" ht="15" customHeight="1">
      <c r="A1316" s="61" t="s">
        <v>514</v>
      </c>
      <c r="B1316" s="61" t="s">
        <v>513</v>
      </c>
      <c r="C1316" s="55">
        <v>1175.04</v>
      </c>
      <c r="D1316" s="54"/>
      <c r="E1316" s="54"/>
    </row>
    <row r="1317" spans="1:5" ht="15" customHeight="1">
      <c r="A1317" s="61" t="s">
        <v>512</v>
      </c>
      <c r="B1317" s="61" t="s">
        <v>511</v>
      </c>
      <c r="C1317" s="55">
        <v>1472.52</v>
      </c>
      <c r="D1317" s="54"/>
      <c r="E1317" s="54"/>
    </row>
    <row r="1318" spans="1:5" ht="15" customHeight="1">
      <c r="A1318" s="61" t="s">
        <v>510</v>
      </c>
      <c r="B1318" s="61" t="s">
        <v>509</v>
      </c>
      <c r="C1318" s="55">
        <v>212.4</v>
      </c>
      <c r="D1318" s="54"/>
      <c r="E1318" s="54"/>
    </row>
    <row r="1319" spans="1:5" ht="15" customHeight="1">
      <c r="A1319" s="61" t="s">
        <v>508</v>
      </c>
      <c r="B1319" s="61" t="s">
        <v>507</v>
      </c>
      <c r="C1319" s="55">
        <v>458.35</v>
      </c>
      <c r="D1319" s="54"/>
      <c r="E1319" s="54"/>
    </row>
    <row r="1320" spans="1:5" ht="15" customHeight="1">
      <c r="A1320" s="61" t="s">
        <v>506</v>
      </c>
      <c r="B1320" s="61" t="s">
        <v>505</v>
      </c>
      <c r="C1320" s="55">
        <v>2927.4</v>
      </c>
      <c r="D1320" s="54"/>
      <c r="E1320" s="54"/>
    </row>
    <row r="1321" spans="1:5" ht="15" customHeight="1">
      <c r="A1321" s="61" t="s">
        <v>504</v>
      </c>
      <c r="B1321" s="61" t="s">
        <v>503</v>
      </c>
      <c r="C1321" s="55">
        <v>33.39</v>
      </c>
      <c r="D1321" s="54"/>
      <c r="E1321" s="54"/>
    </row>
    <row r="1322" spans="1:5" ht="15" customHeight="1">
      <c r="A1322" s="61" t="s">
        <v>502</v>
      </c>
      <c r="B1322" s="61" t="s">
        <v>501</v>
      </c>
      <c r="C1322" s="55">
        <v>9.77</v>
      </c>
      <c r="D1322" s="54"/>
      <c r="E1322" s="54"/>
    </row>
    <row r="1323" spans="1:5" ht="15" customHeight="1">
      <c r="A1323" s="61" t="s">
        <v>500</v>
      </c>
      <c r="B1323" s="61" t="s">
        <v>499</v>
      </c>
      <c r="C1323" s="55">
        <v>17.47</v>
      </c>
      <c r="D1323" s="54"/>
      <c r="E1323" s="54"/>
    </row>
    <row r="1324" spans="1:5" ht="15" customHeight="1">
      <c r="A1324" s="61" t="s">
        <v>498</v>
      </c>
      <c r="B1324" s="61" t="s">
        <v>497</v>
      </c>
      <c r="C1324" s="55">
        <v>92.98</v>
      </c>
      <c r="D1324" s="54"/>
      <c r="E1324" s="54"/>
    </row>
    <row r="1325" spans="1:5" ht="15" customHeight="1">
      <c r="A1325" s="61" t="s">
        <v>496</v>
      </c>
      <c r="B1325" s="61" t="s">
        <v>495</v>
      </c>
      <c r="C1325" s="55">
        <v>606.85</v>
      </c>
      <c r="D1325" s="54"/>
      <c r="E1325" s="54"/>
    </row>
    <row r="1326" spans="1:5" ht="15" customHeight="1">
      <c r="A1326" s="61" t="s">
        <v>494</v>
      </c>
      <c r="B1326" s="61" t="s">
        <v>493</v>
      </c>
      <c r="C1326" s="55">
        <v>763.92</v>
      </c>
      <c r="D1326" s="54"/>
      <c r="E1326" s="54"/>
    </row>
    <row r="1327" spans="1:5" ht="15" customHeight="1">
      <c r="A1327" s="61" t="s">
        <v>492</v>
      </c>
      <c r="B1327" s="61" t="s">
        <v>491</v>
      </c>
      <c r="C1327" s="55">
        <v>259.2</v>
      </c>
      <c r="D1327" s="54"/>
      <c r="E1327" s="54"/>
    </row>
    <row r="1328" spans="1:5" ht="15" customHeight="1">
      <c r="A1328" s="61" t="s">
        <v>490</v>
      </c>
      <c r="B1328" s="61" t="s">
        <v>489</v>
      </c>
      <c r="C1328" s="55">
        <v>129.21</v>
      </c>
      <c r="D1328" s="54"/>
      <c r="E1328" s="54"/>
    </row>
    <row r="1329" spans="1:5" ht="15" customHeight="1">
      <c r="A1329" s="61" t="s">
        <v>488</v>
      </c>
      <c r="B1329" s="61" t="s">
        <v>487</v>
      </c>
      <c r="C1329" s="55">
        <v>359.71</v>
      </c>
      <c r="D1329" s="54"/>
      <c r="E1329" s="54"/>
    </row>
    <row r="1330" spans="1:5" ht="15" customHeight="1">
      <c r="A1330" s="61" t="s">
        <v>486</v>
      </c>
      <c r="B1330" s="61" t="s">
        <v>485</v>
      </c>
      <c r="C1330" s="55">
        <v>315.35000000000002</v>
      </c>
      <c r="D1330" s="54"/>
      <c r="E1330" s="54"/>
    </row>
    <row r="1331" spans="1:5" ht="15" customHeight="1">
      <c r="A1331" s="61" t="s">
        <v>484</v>
      </c>
      <c r="B1331" s="61" t="s">
        <v>483</v>
      </c>
      <c r="C1331" s="55">
        <v>252.09</v>
      </c>
      <c r="D1331" s="54"/>
      <c r="E1331" s="54"/>
    </row>
    <row r="1332" spans="1:5" ht="15" customHeight="1">
      <c r="A1332" s="61" t="s">
        <v>482</v>
      </c>
      <c r="B1332" s="61" t="s">
        <v>474</v>
      </c>
      <c r="C1332" s="55">
        <v>464.4</v>
      </c>
      <c r="D1332" s="54"/>
      <c r="E1332" s="54"/>
    </row>
    <row r="1333" spans="1:5" ht="15" customHeight="1">
      <c r="A1333" s="61" t="s">
        <v>481</v>
      </c>
      <c r="B1333" s="61" t="s">
        <v>480</v>
      </c>
      <c r="C1333" s="55">
        <v>558.45000000000005</v>
      </c>
      <c r="D1333" s="54"/>
      <c r="E1333" s="54"/>
    </row>
    <row r="1334" spans="1:5" ht="15" customHeight="1">
      <c r="A1334" s="61" t="s">
        <v>479</v>
      </c>
      <c r="B1334" s="61" t="s">
        <v>477</v>
      </c>
      <c r="C1334" s="55">
        <v>533.95000000000005</v>
      </c>
      <c r="D1334" s="54"/>
      <c r="E1334" s="54"/>
    </row>
    <row r="1335" spans="1:5" ht="15" customHeight="1">
      <c r="A1335" s="61" t="s">
        <v>478</v>
      </c>
      <c r="B1335" s="61" t="s">
        <v>477</v>
      </c>
      <c r="C1335" s="55">
        <v>296.48</v>
      </c>
      <c r="D1335" s="54"/>
      <c r="E1335" s="54"/>
    </row>
    <row r="1336" spans="1:5" ht="15" customHeight="1">
      <c r="A1336" s="61" t="s">
        <v>476</v>
      </c>
      <c r="B1336" s="61" t="s">
        <v>474</v>
      </c>
      <c r="C1336" s="55">
        <v>215</v>
      </c>
      <c r="D1336" s="54"/>
      <c r="E1336" s="54"/>
    </row>
    <row r="1337" spans="1:5" ht="15" customHeight="1">
      <c r="A1337" s="61" t="s">
        <v>475</v>
      </c>
      <c r="B1337" s="61" t="s">
        <v>474</v>
      </c>
      <c r="C1337" s="55">
        <v>221.58</v>
      </c>
      <c r="D1337" s="54"/>
      <c r="E1337" s="54"/>
    </row>
    <row r="1338" spans="1:5" ht="15" customHeight="1">
      <c r="A1338" s="61" t="s">
        <v>473</v>
      </c>
      <c r="B1338" s="61" t="s">
        <v>472</v>
      </c>
      <c r="C1338" s="55">
        <v>212.85</v>
      </c>
      <c r="D1338" s="54"/>
      <c r="E1338" s="54"/>
    </row>
    <row r="1339" spans="1:5" ht="15" customHeight="1">
      <c r="A1339" s="61" t="s">
        <v>471</v>
      </c>
      <c r="B1339" s="61" t="s">
        <v>470</v>
      </c>
      <c r="C1339" s="55">
        <v>320</v>
      </c>
      <c r="D1339" s="54"/>
      <c r="E1339" s="54"/>
    </row>
    <row r="1340" spans="1:5" ht="15" customHeight="1">
      <c r="A1340" s="61" t="s">
        <v>469</v>
      </c>
      <c r="B1340" s="61" t="s">
        <v>468</v>
      </c>
      <c r="C1340" s="55">
        <v>1123.75</v>
      </c>
      <c r="D1340" s="54"/>
      <c r="E1340" s="54"/>
    </row>
    <row r="1341" spans="1:5" ht="15" customHeight="1">
      <c r="A1341" s="61" t="s">
        <v>467</v>
      </c>
      <c r="B1341" s="61" t="s">
        <v>466</v>
      </c>
      <c r="C1341" s="55">
        <v>2167.36</v>
      </c>
      <c r="D1341" s="54"/>
      <c r="E1341" s="54"/>
    </row>
    <row r="1342" spans="1:5" ht="15" customHeight="1">
      <c r="A1342" s="61" t="s">
        <v>465</v>
      </c>
      <c r="B1342" s="61" t="s">
        <v>463</v>
      </c>
      <c r="C1342" s="55">
        <v>1068.05</v>
      </c>
      <c r="D1342" s="54"/>
      <c r="E1342" s="54"/>
    </row>
    <row r="1343" spans="1:5" ht="15" customHeight="1">
      <c r="A1343" s="61" t="s">
        <v>464</v>
      </c>
      <c r="B1343" s="61" t="s">
        <v>463</v>
      </c>
      <c r="C1343" s="55">
        <v>1805.26</v>
      </c>
      <c r="D1343" s="54"/>
      <c r="E1343" s="54"/>
    </row>
    <row r="1344" spans="1:5" ht="15" customHeight="1">
      <c r="A1344" s="61" t="s">
        <v>462</v>
      </c>
      <c r="B1344" s="61" t="s">
        <v>461</v>
      </c>
      <c r="C1344" s="55">
        <v>1805.26</v>
      </c>
      <c r="D1344" s="54"/>
      <c r="E1344" s="54"/>
    </row>
    <row r="1345" spans="1:5" ht="15" customHeight="1">
      <c r="A1345" s="61" t="s">
        <v>460</v>
      </c>
      <c r="B1345" s="61" t="s">
        <v>459</v>
      </c>
      <c r="C1345" s="55">
        <v>1740.61</v>
      </c>
      <c r="D1345" s="54"/>
      <c r="E1345" s="54"/>
    </row>
    <row r="1346" spans="1:5" ht="15" customHeight="1">
      <c r="A1346" s="61" t="s">
        <v>458</v>
      </c>
      <c r="B1346" s="61" t="s">
        <v>457</v>
      </c>
      <c r="C1346" s="55">
        <v>261.61</v>
      </c>
      <c r="D1346" s="54"/>
      <c r="E1346" s="54"/>
    </row>
    <row r="1347" spans="1:5" ht="15" customHeight="1">
      <c r="A1347" s="61" t="s">
        <v>456</v>
      </c>
      <c r="B1347" s="61" t="s">
        <v>455</v>
      </c>
      <c r="C1347" s="55">
        <v>154.72999999999999</v>
      </c>
      <c r="D1347" s="54"/>
      <c r="E1347" s="54"/>
    </row>
    <row r="1348" spans="1:5" ht="15" customHeight="1">
      <c r="A1348" s="61" t="s">
        <v>454</v>
      </c>
      <c r="B1348" s="61" t="s">
        <v>453</v>
      </c>
      <c r="C1348" s="55">
        <v>173.4</v>
      </c>
      <c r="D1348" s="54"/>
      <c r="E1348" s="54"/>
    </row>
    <row r="1349" spans="1:5" ht="15" customHeight="1">
      <c r="A1349" s="61" t="s">
        <v>452</v>
      </c>
      <c r="B1349" s="61" t="s">
        <v>451</v>
      </c>
      <c r="C1349" s="55">
        <v>331.58</v>
      </c>
      <c r="D1349" s="54"/>
      <c r="E1349" s="54"/>
    </row>
    <row r="1350" spans="1:5" ht="15" customHeight="1">
      <c r="A1350" s="61" t="s">
        <v>450</v>
      </c>
      <c r="B1350" s="61" t="s">
        <v>449</v>
      </c>
      <c r="C1350" s="55">
        <v>1188</v>
      </c>
      <c r="D1350" s="54"/>
      <c r="E1350" s="54"/>
    </row>
    <row r="1351" spans="1:5" ht="15" customHeight="1">
      <c r="A1351" s="61" t="s">
        <v>448</v>
      </c>
      <c r="B1351" s="61" t="s">
        <v>447</v>
      </c>
      <c r="C1351" s="55">
        <v>848.88</v>
      </c>
      <c r="D1351" s="54"/>
      <c r="E1351" s="54"/>
    </row>
    <row r="1352" spans="1:5" ht="15" customHeight="1">
      <c r="A1352" s="61" t="s">
        <v>446</v>
      </c>
      <c r="B1352" s="61" t="s">
        <v>445</v>
      </c>
      <c r="C1352" s="55">
        <v>221.4</v>
      </c>
      <c r="D1352" s="54"/>
      <c r="E1352" s="54"/>
    </row>
    <row r="1353" spans="1:5" ht="15" customHeight="1">
      <c r="A1353" s="61" t="s">
        <v>444</v>
      </c>
      <c r="B1353" s="61" t="s">
        <v>443</v>
      </c>
      <c r="C1353" s="55">
        <v>543.70000000000005</v>
      </c>
      <c r="D1353" s="54"/>
      <c r="E1353" s="54"/>
    </row>
    <row r="1354" spans="1:5" ht="15" customHeight="1">
      <c r="A1354" s="61" t="s">
        <v>442</v>
      </c>
      <c r="B1354" s="61" t="s">
        <v>441</v>
      </c>
      <c r="C1354" s="55">
        <v>3384.72</v>
      </c>
      <c r="D1354" s="54"/>
      <c r="E1354" s="54"/>
    </row>
    <row r="1355" spans="1:5" ht="15" customHeight="1">
      <c r="A1355" s="61" t="s">
        <v>440</v>
      </c>
      <c r="B1355" s="61" t="s">
        <v>439</v>
      </c>
      <c r="C1355" s="55">
        <v>340.65</v>
      </c>
      <c r="D1355" s="54"/>
      <c r="E1355" s="54"/>
    </row>
    <row r="1356" spans="1:5" ht="15" customHeight="1">
      <c r="A1356" s="61" t="s">
        <v>438</v>
      </c>
      <c r="B1356" s="61" t="s">
        <v>437</v>
      </c>
      <c r="C1356" s="55">
        <v>160.13999999999999</v>
      </c>
      <c r="D1356" s="54"/>
      <c r="E1356" s="54"/>
    </row>
    <row r="1357" spans="1:5" ht="15" customHeight="1">
      <c r="A1357" s="61" t="s">
        <v>436</v>
      </c>
      <c r="B1357" s="61" t="s">
        <v>435</v>
      </c>
      <c r="C1357" s="55">
        <v>614.45000000000005</v>
      </c>
      <c r="D1357" s="54"/>
      <c r="E1357" s="54"/>
    </row>
    <row r="1358" spans="1:5" ht="15" customHeight="1">
      <c r="A1358" s="61" t="s">
        <v>434</v>
      </c>
      <c r="B1358" s="61" t="s">
        <v>433</v>
      </c>
      <c r="C1358" s="55">
        <v>191.16</v>
      </c>
      <c r="D1358" s="54"/>
      <c r="E1358" s="54"/>
    </row>
    <row r="1359" spans="1:5" ht="15" customHeight="1">
      <c r="A1359" s="61" t="s">
        <v>432</v>
      </c>
      <c r="B1359" s="61" t="s">
        <v>431</v>
      </c>
      <c r="C1359" s="55">
        <v>150.12</v>
      </c>
      <c r="D1359" s="54"/>
      <c r="E1359" s="54"/>
    </row>
    <row r="1360" spans="1:5" ht="15" customHeight="1">
      <c r="A1360" s="61" t="s">
        <v>430</v>
      </c>
      <c r="B1360" s="61" t="s">
        <v>429</v>
      </c>
      <c r="C1360" s="55">
        <v>145.05000000000001</v>
      </c>
      <c r="D1360" s="54"/>
      <c r="E1360" s="54"/>
    </row>
    <row r="1361" spans="1:5" ht="15" customHeight="1">
      <c r="A1361" s="61" t="s">
        <v>428</v>
      </c>
      <c r="B1361" s="61" t="s">
        <v>427</v>
      </c>
      <c r="C1361" s="55">
        <v>313.2</v>
      </c>
      <c r="D1361" s="54"/>
      <c r="E1361" s="54"/>
    </row>
    <row r="1362" spans="1:5" ht="15" customHeight="1">
      <c r="A1362" s="61" t="s">
        <v>426</v>
      </c>
      <c r="B1362" s="61" t="s">
        <v>425</v>
      </c>
      <c r="C1362" s="55">
        <v>535.84</v>
      </c>
      <c r="D1362" s="54"/>
      <c r="E1362" s="54"/>
    </row>
    <row r="1363" spans="1:5" ht="15" customHeight="1">
      <c r="A1363" s="61" t="s">
        <v>424</v>
      </c>
      <c r="B1363" s="61" t="s">
        <v>423</v>
      </c>
      <c r="C1363" s="55">
        <v>380.3</v>
      </c>
      <c r="D1363" s="54"/>
      <c r="E1363" s="54"/>
    </row>
    <row r="1364" spans="1:5" ht="15" customHeight="1">
      <c r="A1364" s="61" t="s">
        <v>422</v>
      </c>
      <c r="B1364" s="61" t="s">
        <v>421</v>
      </c>
      <c r="C1364" s="55">
        <v>261.61</v>
      </c>
      <c r="D1364" s="54"/>
      <c r="E1364" s="54"/>
    </row>
    <row r="1365" spans="1:5" ht="15" customHeight="1">
      <c r="A1365" s="61" t="s">
        <v>420</v>
      </c>
      <c r="B1365" s="61" t="s">
        <v>419</v>
      </c>
      <c r="C1365" s="55">
        <v>10.38</v>
      </c>
      <c r="D1365" s="54"/>
      <c r="E1365" s="54"/>
    </row>
    <row r="1366" spans="1:5" ht="15" customHeight="1">
      <c r="A1366" s="61" t="s">
        <v>418</v>
      </c>
      <c r="B1366" s="61" t="s">
        <v>417</v>
      </c>
      <c r="C1366" s="55">
        <v>238.56</v>
      </c>
      <c r="D1366" s="54"/>
      <c r="E1366" s="54"/>
    </row>
    <row r="1367" spans="1:5" ht="15" customHeight="1">
      <c r="A1367" s="61" t="s">
        <v>416</v>
      </c>
      <c r="B1367" s="61" t="s">
        <v>415</v>
      </c>
      <c r="C1367" s="55">
        <v>188.2</v>
      </c>
      <c r="D1367" s="54"/>
      <c r="E1367" s="54"/>
    </row>
    <row r="1368" spans="1:5" ht="15" customHeight="1">
      <c r="A1368" s="61" t="s">
        <v>414</v>
      </c>
      <c r="B1368" s="61" t="s">
        <v>413</v>
      </c>
      <c r="C1368" s="55">
        <v>31.8</v>
      </c>
      <c r="D1368" s="54"/>
      <c r="E1368" s="54"/>
    </row>
    <row r="1369" spans="1:5" ht="15" customHeight="1">
      <c r="A1369" s="56"/>
      <c r="B1369" s="61"/>
      <c r="C1369" s="55"/>
      <c r="D1369" s="54"/>
      <c r="E1369" s="54"/>
    </row>
  </sheetData>
  <dataValidations count="1">
    <dataValidation type="list" allowBlank="1" showInputMessage="1" showErrorMessage="1" promptTitle="Part" prompt="Click Part #" sqref="A1:A1368" xr:uid="{7B4AA64B-9096-5E48-BD15-5FACF2C3F450}">
      <formula1>$A$1:$A$1368</formula1>
    </dataValidation>
  </dataValidations>
  <pageMargins left="0.38888899999999998" right="0.38888899999999998" top="0.93055600000000005" bottom="0.75" header="0.38888899999999998" footer="0.38888899999999998"/>
  <pageSetup scale="85" orientation="portrait"/>
  <headerFooter>
    <oddHeader>&amp;C&amp;"Arial,Bold"&amp;12&amp;K000000
&amp;R&amp;"Arial,Regular"&amp;9&amp;K000000Monday, December 7, 2020</oddHeader>
    <oddFooter>&amp;C&amp;"Calibri,Regular"&amp;11&amp;K000000&amp;"Arial,Regular"&amp;8&amp;P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1778-999F-454A-8698-78E915B9703A}">
  <dimension ref="A1:C1368"/>
  <sheetViews>
    <sheetView topLeftCell="A2" workbookViewId="0">
      <selection activeCell="A2" sqref="A2"/>
    </sheetView>
  </sheetViews>
  <sheetFormatPr baseColWidth="10" defaultRowHeight="13"/>
  <cols>
    <col min="1" max="1" width="49.83203125" customWidth="1"/>
    <col min="2" max="2" width="16.6640625" style="63" customWidth="1"/>
  </cols>
  <sheetData>
    <row r="1" spans="1:3" ht="16">
      <c r="A1" s="64" t="s">
        <v>4426</v>
      </c>
      <c r="B1" s="65" t="s">
        <v>4427</v>
      </c>
      <c r="C1" s="64" t="s">
        <v>4428</v>
      </c>
    </row>
    <row r="2" spans="1:3">
      <c r="A2" s="59" t="s">
        <v>3062</v>
      </c>
      <c r="B2" s="62">
        <v>13.79</v>
      </c>
    </row>
    <row r="3" spans="1:3">
      <c r="A3" t="s">
        <v>3063</v>
      </c>
      <c r="B3" s="62">
        <v>12.38</v>
      </c>
    </row>
    <row r="4" spans="1:3">
      <c r="A4" t="s">
        <v>3064</v>
      </c>
      <c r="B4" s="62">
        <v>9.8000000000000007</v>
      </c>
    </row>
    <row r="5" spans="1:3">
      <c r="A5" t="s">
        <v>3065</v>
      </c>
      <c r="B5" s="62">
        <v>14.8</v>
      </c>
    </row>
    <row r="6" spans="1:3">
      <c r="A6" t="s">
        <v>3066</v>
      </c>
      <c r="B6" s="62">
        <v>24.94</v>
      </c>
    </row>
    <row r="7" spans="1:3">
      <c r="A7" t="s">
        <v>3067</v>
      </c>
      <c r="B7" s="62">
        <v>14.8</v>
      </c>
    </row>
    <row r="8" spans="1:3">
      <c r="A8" t="s">
        <v>3068</v>
      </c>
      <c r="B8" s="62">
        <v>10.62</v>
      </c>
    </row>
    <row r="9" spans="1:3">
      <c r="A9" t="s">
        <v>3069</v>
      </c>
      <c r="B9" s="62">
        <v>22.38</v>
      </c>
    </row>
    <row r="10" spans="1:3">
      <c r="A10" t="s">
        <v>3070</v>
      </c>
      <c r="B10" s="62">
        <v>12.15</v>
      </c>
    </row>
    <row r="11" spans="1:3">
      <c r="A11" t="s">
        <v>3071</v>
      </c>
      <c r="B11" s="62">
        <v>870.72</v>
      </c>
    </row>
    <row r="12" spans="1:3">
      <c r="A12" t="s">
        <v>3072</v>
      </c>
      <c r="B12" s="62">
        <v>24.67</v>
      </c>
    </row>
    <row r="13" spans="1:3">
      <c r="A13" t="s">
        <v>3073</v>
      </c>
      <c r="B13" s="62">
        <v>23.55</v>
      </c>
    </row>
    <row r="14" spans="1:3">
      <c r="A14" t="s">
        <v>3074</v>
      </c>
      <c r="B14" s="62">
        <v>24.67</v>
      </c>
    </row>
    <row r="15" spans="1:3">
      <c r="A15" t="s">
        <v>3075</v>
      </c>
      <c r="B15" s="62">
        <v>45.35</v>
      </c>
    </row>
    <row r="16" spans="1:3">
      <c r="A16" t="s">
        <v>3076</v>
      </c>
      <c r="B16" s="62">
        <v>42.64</v>
      </c>
    </row>
    <row r="17" spans="1:2">
      <c r="A17" t="s">
        <v>3077</v>
      </c>
      <c r="B17" s="62">
        <v>46.82</v>
      </c>
    </row>
    <row r="18" spans="1:2">
      <c r="A18" t="s">
        <v>3078</v>
      </c>
      <c r="B18" s="62">
        <v>50.24</v>
      </c>
    </row>
    <row r="19" spans="1:2">
      <c r="A19" t="s">
        <v>3079</v>
      </c>
      <c r="B19" s="62">
        <v>59.06</v>
      </c>
    </row>
    <row r="20" spans="1:2">
      <c r="A20" t="s">
        <v>3080</v>
      </c>
      <c r="B20" s="62">
        <v>51.79</v>
      </c>
    </row>
    <row r="21" spans="1:2">
      <c r="A21" t="s">
        <v>3081</v>
      </c>
      <c r="B21" s="62">
        <v>63.22</v>
      </c>
    </row>
    <row r="22" spans="1:2">
      <c r="A22" t="s">
        <v>3082</v>
      </c>
      <c r="B22" s="62">
        <v>32.1</v>
      </c>
    </row>
    <row r="23" spans="1:2">
      <c r="A23" t="s">
        <v>3083</v>
      </c>
      <c r="B23" s="62">
        <v>30.25</v>
      </c>
    </row>
    <row r="24" spans="1:2">
      <c r="A24" t="s">
        <v>3084</v>
      </c>
      <c r="B24" s="62">
        <v>56.73</v>
      </c>
    </row>
    <row r="25" spans="1:2">
      <c r="A25" t="s">
        <v>3085</v>
      </c>
      <c r="B25" s="62">
        <v>150.5</v>
      </c>
    </row>
    <row r="26" spans="1:2">
      <c r="A26" t="s">
        <v>3086</v>
      </c>
      <c r="B26" s="62">
        <v>202.2</v>
      </c>
    </row>
    <row r="27" spans="1:2">
      <c r="A27" t="s">
        <v>3087</v>
      </c>
      <c r="B27" s="62">
        <v>218.68</v>
      </c>
    </row>
    <row r="28" spans="1:2">
      <c r="A28" t="s">
        <v>3088</v>
      </c>
      <c r="B28" s="62">
        <v>205.37</v>
      </c>
    </row>
    <row r="29" spans="1:2">
      <c r="A29" t="s">
        <v>3089</v>
      </c>
      <c r="B29" s="62">
        <v>46.76</v>
      </c>
    </row>
    <row r="30" spans="1:2">
      <c r="A30" t="s">
        <v>3090</v>
      </c>
      <c r="B30" s="62">
        <v>436.62</v>
      </c>
    </row>
    <row r="31" spans="1:2">
      <c r="A31" t="s">
        <v>3091</v>
      </c>
      <c r="B31" s="62">
        <v>46.76</v>
      </c>
    </row>
    <row r="32" spans="1:2">
      <c r="A32" t="s">
        <v>3092</v>
      </c>
      <c r="B32" s="62">
        <v>446.88</v>
      </c>
    </row>
    <row r="33" spans="1:2">
      <c r="A33" t="s">
        <v>3093</v>
      </c>
      <c r="B33" s="62">
        <v>331.96</v>
      </c>
    </row>
    <row r="34" spans="1:2">
      <c r="A34" t="s">
        <v>3094</v>
      </c>
      <c r="B34" s="62">
        <v>66.03</v>
      </c>
    </row>
    <row r="35" spans="1:2">
      <c r="A35" t="s">
        <v>3095</v>
      </c>
      <c r="B35" s="62">
        <v>36.03</v>
      </c>
    </row>
    <row r="36" spans="1:2">
      <c r="A36" t="s">
        <v>3096</v>
      </c>
      <c r="B36" s="62">
        <v>16.21</v>
      </c>
    </row>
    <row r="37" spans="1:2">
      <c r="A37" t="s">
        <v>3097</v>
      </c>
      <c r="B37" s="62">
        <v>16.71</v>
      </c>
    </row>
    <row r="38" spans="1:2">
      <c r="A38" t="s">
        <v>3098</v>
      </c>
      <c r="B38" s="62">
        <v>36</v>
      </c>
    </row>
    <row r="39" spans="1:2">
      <c r="A39" t="s">
        <v>3099</v>
      </c>
      <c r="B39" s="62">
        <v>14.82</v>
      </c>
    </row>
    <row r="40" spans="1:2">
      <c r="A40" t="s">
        <v>3100</v>
      </c>
      <c r="B40" s="62">
        <v>14.82</v>
      </c>
    </row>
    <row r="41" spans="1:2">
      <c r="A41" t="s">
        <v>3101</v>
      </c>
      <c r="B41" s="62">
        <v>16.079999999999998</v>
      </c>
    </row>
    <row r="42" spans="1:2">
      <c r="A42" t="s">
        <v>3102</v>
      </c>
      <c r="B42" s="62">
        <v>14.41</v>
      </c>
    </row>
    <row r="43" spans="1:2">
      <c r="A43" t="s">
        <v>3103</v>
      </c>
      <c r="B43" s="62">
        <v>61.1</v>
      </c>
    </row>
    <row r="44" spans="1:2">
      <c r="A44" t="s">
        <v>3104</v>
      </c>
      <c r="B44" s="62">
        <v>24.47</v>
      </c>
    </row>
    <row r="45" spans="1:2">
      <c r="A45" t="s">
        <v>3105</v>
      </c>
      <c r="B45" s="62">
        <v>31.09</v>
      </c>
    </row>
    <row r="46" spans="1:2">
      <c r="A46" t="s">
        <v>3106</v>
      </c>
      <c r="B46" s="62">
        <v>13.1</v>
      </c>
    </row>
    <row r="47" spans="1:2">
      <c r="A47" t="s">
        <v>3107</v>
      </c>
      <c r="B47" s="62">
        <v>20.440000000000001</v>
      </c>
    </row>
    <row r="48" spans="1:2">
      <c r="A48" t="s">
        <v>3108</v>
      </c>
      <c r="B48" s="62">
        <v>8.6199999999999992</v>
      </c>
    </row>
    <row r="49" spans="1:2">
      <c r="A49" t="s">
        <v>3109</v>
      </c>
      <c r="B49" s="62">
        <v>8.6199999999999992</v>
      </c>
    </row>
    <row r="50" spans="1:2">
      <c r="A50" t="s">
        <v>3110</v>
      </c>
      <c r="B50" s="62">
        <v>46</v>
      </c>
    </row>
    <row r="51" spans="1:2">
      <c r="A51" t="s">
        <v>3111</v>
      </c>
      <c r="B51" s="62">
        <v>46.2</v>
      </c>
    </row>
    <row r="52" spans="1:2">
      <c r="A52" t="s">
        <v>3112</v>
      </c>
      <c r="B52" s="62">
        <v>59.88</v>
      </c>
    </row>
    <row r="53" spans="1:2">
      <c r="A53" t="s">
        <v>3113</v>
      </c>
      <c r="B53" s="62">
        <v>44.82</v>
      </c>
    </row>
    <row r="54" spans="1:2">
      <c r="A54" t="s">
        <v>3114</v>
      </c>
      <c r="B54" s="62">
        <v>71.680000000000007</v>
      </c>
    </row>
    <row r="55" spans="1:2">
      <c r="A55" t="s">
        <v>3115</v>
      </c>
      <c r="B55" s="62">
        <v>48.09</v>
      </c>
    </row>
    <row r="56" spans="1:2">
      <c r="A56" t="s">
        <v>3116</v>
      </c>
      <c r="B56" s="62">
        <v>14.2</v>
      </c>
    </row>
    <row r="57" spans="1:2">
      <c r="A57" t="s">
        <v>3117</v>
      </c>
      <c r="B57" s="62">
        <v>28.49</v>
      </c>
    </row>
    <row r="58" spans="1:2">
      <c r="A58" t="s">
        <v>3118</v>
      </c>
      <c r="B58" s="62">
        <v>21.89</v>
      </c>
    </row>
    <row r="59" spans="1:2">
      <c r="A59" t="s">
        <v>3119</v>
      </c>
      <c r="B59" s="62">
        <v>23.21</v>
      </c>
    </row>
    <row r="60" spans="1:2">
      <c r="A60" t="s">
        <v>3120</v>
      </c>
      <c r="B60" s="62">
        <v>25.07</v>
      </c>
    </row>
    <row r="61" spans="1:2">
      <c r="A61" t="s">
        <v>3121</v>
      </c>
      <c r="B61" s="62">
        <v>41.94</v>
      </c>
    </row>
    <row r="62" spans="1:2">
      <c r="A62" t="s">
        <v>3122</v>
      </c>
      <c r="B62" s="62">
        <v>14.18</v>
      </c>
    </row>
    <row r="63" spans="1:2">
      <c r="A63" t="s">
        <v>3123</v>
      </c>
      <c r="B63" s="62">
        <v>16.72</v>
      </c>
    </row>
    <row r="64" spans="1:2">
      <c r="A64" t="s">
        <v>3124</v>
      </c>
      <c r="B64" s="62">
        <v>2100.48</v>
      </c>
    </row>
    <row r="65" spans="1:2">
      <c r="A65" t="s">
        <v>3125</v>
      </c>
      <c r="B65" s="62">
        <v>34.86</v>
      </c>
    </row>
    <row r="66" spans="1:2">
      <c r="A66" t="s">
        <v>3126</v>
      </c>
      <c r="B66" s="62">
        <v>38.979999999999997</v>
      </c>
    </row>
    <row r="67" spans="1:2">
      <c r="A67" t="s">
        <v>3127</v>
      </c>
      <c r="B67" s="62">
        <v>33.979999999999997</v>
      </c>
    </row>
    <row r="68" spans="1:2">
      <c r="A68" t="s">
        <v>3128</v>
      </c>
      <c r="B68" s="62">
        <v>15.72</v>
      </c>
    </row>
    <row r="69" spans="1:2">
      <c r="A69" t="s">
        <v>3129</v>
      </c>
      <c r="B69" s="62">
        <v>17.75</v>
      </c>
    </row>
    <row r="70" spans="1:2">
      <c r="A70" t="s">
        <v>3130</v>
      </c>
      <c r="B70" s="62">
        <v>37.18</v>
      </c>
    </row>
    <row r="71" spans="1:2">
      <c r="A71" t="s">
        <v>3131</v>
      </c>
      <c r="B71" s="62">
        <v>26</v>
      </c>
    </row>
    <row r="72" spans="1:2">
      <c r="A72" t="s">
        <v>3132</v>
      </c>
      <c r="B72" s="62">
        <v>38.29</v>
      </c>
    </row>
    <row r="73" spans="1:2">
      <c r="A73" t="s">
        <v>3133</v>
      </c>
      <c r="B73" s="62">
        <v>35.549999999999997</v>
      </c>
    </row>
    <row r="74" spans="1:2">
      <c r="A74" t="s">
        <v>3134</v>
      </c>
      <c r="B74" s="62">
        <v>33.78</v>
      </c>
    </row>
    <row r="75" spans="1:2">
      <c r="A75" t="s">
        <v>3135</v>
      </c>
      <c r="B75" s="62">
        <v>50.37</v>
      </c>
    </row>
    <row r="76" spans="1:2">
      <c r="A76" t="s">
        <v>3136</v>
      </c>
      <c r="B76" s="62">
        <v>4.37</v>
      </c>
    </row>
    <row r="77" spans="1:2">
      <c r="A77" t="s">
        <v>3137</v>
      </c>
      <c r="B77" s="62">
        <v>18.260000000000002</v>
      </c>
    </row>
    <row r="78" spans="1:2">
      <c r="A78" t="s">
        <v>3138</v>
      </c>
      <c r="B78" s="62">
        <v>6.45</v>
      </c>
    </row>
    <row r="79" spans="1:2">
      <c r="A79" t="s">
        <v>3139</v>
      </c>
      <c r="B79" s="62">
        <v>34.76</v>
      </c>
    </row>
    <row r="80" spans="1:2">
      <c r="A80" t="s">
        <v>3140</v>
      </c>
      <c r="B80" s="62">
        <v>20.34</v>
      </c>
    </row>
    <row r="81" spans="1:2">
      <c r="A81" t="s">
        <v>3141</v>
      </c>
      <c r="B81" s="62">
        <v>181.26</v>
      </c>
    </row>
    <row r="82" spans="1:2">
      <c r="A82" t="s">
        <v>3142</v>
      </c>
      <c r="B82" s="62">
        <v>12.61</v>
      </c>
    </row>
    <row r="83" spans="1:2">
      <c r="A83" t="s">
        <v>3143</v>
      </c>
      <c r="B83" s="62">
        <v>535.16</v>
      </c>
    </row>
    <row r="84" spans="1:2">
      <c r="A84" t="s">
        <v>3144</v>
      </c>
      <c r="B84" s="62">
        <v>1.64</v>
      </c>
    </row>
    <row r="85" spans="1:2">
      <c r="A85" t="s">
        <v>3145</v>
      </c>
      <c r="B85" s="62">
        <v>4.0199999999999996</v>
      </c>
    </row>
    <row r="86" spans="1:2">
      <c r="A86" t="s">
        <v>3146</v>
      </c>
      <c r="B86" s="62">
        <v>12.36</v>
      </c>
    </row>
    <row r="87" spans="1:2">
      <c r="A87" t="s">
        <v>3147</v>
      </c>
      <c r="B87" s="62">
        <v>5.36</v>
      </c>
    </row>
    <row r="88" spans="1:2">
      <c r="A88" t="s">
        <v>3148</v>
      </c>
      <c r="B88" s="62">
        <v>34.07</v>
      </c>
    </row>
    <row r="89" spans="1:2">
      <c r="A89" t="s">
        <v>3149</v>
      </c>
      <c r="B89" s="62">
        <v>5.3</v>
      </c>
    </row>
    <row r="90" spans="1:2">
      <c r="A90" t="s">
        <v>3150</v>
      </c>
      <c r="B90" s="62">
        <v>2.16</v>
      </c>
    </row>
    <row r="91" spans="1:2">
      <c r="A91" t="s">
        <v>3151</v>
      </c>
      <c r="B91" s="62">
        <v>8.0500000000000007</v>
      </c>
    </row>
    <row r="92" spans="1:2">
      <c r="A92" t="s">
        <v>3152</v>
      </c>
      <c r="B92" s="62">
        <v>71.430000000000007</v>
      </c>
    </row>
    <row r="93" spans="1:2">
      <c r="A93" t="s">
        <v>3153</v>
      </c>
      <c r="B93" s="62">
        <v>4.2</v>
      </c>
    </row>
    <row r="94" spans="1:2">
      <c r="A94" t="s">
        <v>3154</v>
      </c>
      <c r="B94" s="62">
        <v>105</v>
      </c>
    </row>
    <row r="95" spans="1:2">
      <c r="A95" t="s">
        <v>3155</v>
      </c>
      <c r="B95" s="62">
        <v>4.26</v>
      </c>
    </row>
    <row r="96" spans="1:2">
      <c r="A96" t="s">
        <v>3156</v>
      </c>
      <c r="B96" s="62">
        <v>1.97</v>
      </c>
    </row>
    <row r="97" spans="1:2">
      <c r="A97" t="s">
        <v>3157</v>
      </c>
      <c r="B97" s="62">
        <v>3.54</v>
      </c>
    </row>
    <row r="98" spans="1:2">
      <c r="A98" t="s">
        <v>3158</v>
      </c>
      <c r="B98" s="62">
        <v>28.1</v>
      </c>
    </row>
    <row r="99" spans="1:2">
      <c r="A99" t="s">
        <v>3159</v>
      </c>
      <c r="B99" s="62">
        <v>125.66</v>
      </c>
    </row>
    <row r="100" spans="1:2">
      <c r="A100" t="s">
        <v>3160</v>
      </c>
      <c r="B100" s="62">
        <v>91.79</v>
      </c>
    </row>
    <row r="101" spans="1:2">
      <c r="A101" t="s">
        <v>3161</v>
      </c>
      <c r="B101" s="62">
        <v>7.3</v>
      </c>
    </row>
    <row r="102" spans="1:2">
      <c r="A102" t="s">
        <v>3162</v>
      </c>
      <c r="B102" s="62">
        <v>119.62</v>
      </c>
    </row>
    <row r="103" spans="1:2">
      <c r="A103" t="s">
        <v>3163</v>
      </c>
      <c r="B103" s="62">
        <v>146.55000000000001</v>
      </c>
    </row>
    <row r="104" spans="1:2">
      <c r="A104" t="s">
        <v>3164</v>
      </c>
      <c r="B104" s="62">
        <v>142.27000000000001</v>
      </c>
    </row>
    <row r="105" spans="1:2">
      <c r="A105" t="s">
        <v>3165</v>
      </c>
      <c r="B105" s="62">
        <v>125.66</v>
      </c>
    </row>
    <row r="106" spans="1:2">
      <c r="A106" t="s">
        <v>3166</v>
      </c>
      <c r="B106" s="62">
        <v>138.13</v>
      </c>
    </row>
    <row r="107" spans="1:2">
      <c r="A107" t="s">
        <v>3167</v>
      </c>
      <c r="B107" s="62">
        <v>76.72</v>
      </c>
    </row>
    <row r="108" spans="1:2">
      <c r="A108" t="s">
        <v>3168</v>
      </c>
      <c r="B108" s="62">
        <v>149.99</v>
      </c>
    </row>
    <row r="109" spans="1:2">
      <c r="A109" t="s">
        <v>3169</v>
      </c>
      <c r="B109" s="62">
        <v>142.27000000000001</v>
      </c>
    </row>
    <row r="110" spans="1:2">
      <c r="A110" t="s">
        <v>3170</v>
      </c>
      <c r="B110" s="62">
        <v>91.94</v>
      </c>
    </row>
    <row r="111" spans="1:2">
      <c r="A111" t="s">
        <v>3171</v>
      </c>
      <c r="B111" s="62">
        <v>83.53</v>
      </c>
    </row>
    <row r="112" spans="1:2">
      <c r="A112" t="s">
        <v>3172</v>
      </c>
      <c r="B112" s="62">
        <v>150.94999999999999</v>
      </c>
    </row>
    <row r="113" spans="1:2">
      <c r="A113" t="s">
        <v>3173</v>
      </c>
      <c r="B113" s="62">
        <v>100.7</v>
      </c>
    </row>
    <row r="114" spans="1:2">
      <c r="A114" t="s">
        <v>3174</v>
      </c>
      <c r="B114" s="62">
        <v>100.72</v>
      </c>
    </row>
    <row r="115" spans="1:2">
      <c r="A115" t="s">
        <v>3175</v>
      </c>
      <c r="B115" s="62">
        <v>161.41</v>
      </c>
    </row>
    <row r="116" spans="1:2">
      <c r="A116" t="s">
        <v>3176</v>
      </c>
      <c r="B116" s="62">
        <v>201.65</v>
      </c>
    </row>
    <row r="117" spans="1:2">
      <c r="A117" t="s">
        <v>3177</v>
      </c>
      <c r="B117" s="62">
        <v>152.66</v>
      </c>
    </row>
    <row r="118" spans="1:2">
      <c r="A118" t="s">
        <v>3178</v>
      </c>
      <c r="B118" s="62">
        <v>121.04</v>
      </c>
    </row>
    <row r="119" spans="1:2">
      <c r="A119" t="s">
        <v>3179</v>
      </c>
      <c r="B119" s="62">
        <v>418.84</v>
      </c>
    </row>
    <row r="120" spans="1:2">
      <c r="A120" t="s">
        <v>3180</v>
      </c>
      <c r="B120" s="62">
        <v>31.99</v>
      </c>
    </row>
    <row r="121" spans="1:2">
      <c r="A121" t="s">
        <v>3181</v>
      </c>
      <c r="B121" s="62">
        <v>148.54</v>
      </c>
    </row>
    <row r="122" spans="1:2">
      <c r="A122" t="s">
        <v>3182</v>
      </c>
      <c r="B122" s="62">
        <v>64.680000000000007</v>
      </c>
    </row>
    <row r="123" spans="1:2">
      <c r="A123" t="s">
        <v>3183</v>
      </c>
      <c r="B123" s="62">
        <v>38.4</v>
      </c>
    </row>
    <row r="124" spans="1:2">
      <c r="A124" t="s">
        <v>3184</v>
      </c>
      <c r="B124" s="62">
        <v>93.21</v>
      </c>
    </row>
    <row r="125" spans="1:2">
      <c r="A125" t="s">
        <v>3185</v>
      </c>
      <c r="B125" s="62">
        <v>30</v>
      </c>
    </row>
    <row r="126" spans="1:2">
      <c r="A126" t="s">
        <v>3186</v>
      </c>
      <c r="B126" s="62">
        <v>48.95</v>
      </c>
    </row>
    <row r="127" spans="1:2">
      <c r="A127" t="s">
        <v>3187</v>
      </c>
      <c r="B127" s="62">
        <v>144</v>
      </c>
    </row>
    <row r="128" spans="1:2">
      <c r="A128" t="s">
        <v>3188</v>
      </c>
      <c r="B128" s="62">
        <v>526.29999999999995</v>
      </c>
    </row>
    <row r="129" spans="1:2">
      <c r="A129" t="s">
        <v>3189</v>
      </c>
      <c r="B129" s="62">
        <v>0.46</v>
      </c>
    </row>
    <row r="130" spans="1:2">
      <c r="A130" t="s">
        <v>3190</v>
      </c>
      <c r="B130" s="62">
        <v>84.56</v>
      </c>
    </row>
    <row r="131" spans="1:2">
      <c r="A131" t="s">
        <v>3191</v>
      </c>
      <c r="B131" s="62">
        <v>42.86</v>
      </c>
    </row>
    <row r="132" spans="1:2">
      <c r="A132" t="s">
        <v>3192</v>
      </c>
      <c r="B132" s="62">
        <v>39.799999999999997</v>
      </c>
    </row>
    <row r="133" spans="1:2">
      <c r="A133" t="s">
        <v>3193</v>
      </c>
      <c r="B133" s="62">
        <v>30.94</v>
      </c>
    </row>
    <row r="134" spans="1:2">
      <c r="A134" t="s">
        <v>3194</v>
      </c>
      <c r="B134" s="62">
        <v>83</v>
      </c>
    </row>
    <row r="135" spans="1:2">
      <c r="A135" t="s">
        <v>3195</v>
      </c>
      <c r="B135" s="62">
        <v>3.33</v>
      </c>
    </row>
    <row r="136" spans="1:2">
      <c r="A136" t="s">
        <v>3196</v>
      </c>
      <c r="B136" s="62">
        <v>82.14</v>
      </c>
    </row>
    <row r="137" spans="1:2">
      <c r="A137" t="s">
        <v>3197</v>
      </c>
      <c r="B137" s="62">
        <v>55.61</v>
      </c>
    </row>
    <row r="138" spans="1:2">
      <c r="A138" t="s">
        <v>3198</v>
      </c>
      <c r="B138" s="62">
        <v>44.92</v>
      </c>
    </row>
    <row r="139" spans="1:2">
      <c r="A139" t="s">
        <v>3199</v>
      </c>
      <c r="B139" s="62">
        <v>173.22</v>
      </c>
    </row>
    <row r="140" spans="1:2">
      <c r="A140" t="s">
        <v>3200</v>
      </c>
      <c r="B140" s="62">
        <v>69.47</v>
      </c>
    </row>
    <row r="141" spans="1:2">
      <c r="A141" t="s">
        <v>3201</v>
      </c>
      <c r="B141" s="62">
        <v>236.36</v>
      </c>
    </row>
    <row r="142" spans="1:2">
      <c r="A142" t="s">
        <v>3202</v>
      </c>
      <c r="B142" s="62">
        <v>42.66</v>
      </c>
    </row>
    <row r="143" spans="1:2">
      <c r="A143" t="s">
        <v>3203</v>
      </c>
      <c r="B143" s="62">
        <v>1.68</v>
      </c>
    </row>
    <row r="144" spans="1:2">
      <c r="A144" t="s">
        <v>3204</v>
      </c>
      <c r="B144" s="62">
        <v>23.16</v>
      </c>
    </row>
    <row r="145" spans="1:2">
      <c r="A145" t="s">
        <v>3205</v>
      </c>
      <c r="B145" s="62">
        <v>161.99</v>
      </c>
    </row>
    <row r="146" spans="1:2">
      <c r="A146" t="s">
        <v>3206</v>
      </c>
      <c r="B146" s="62">
        <v>161.99</v>
      </c>
    </row>
    <row r="147" spans="1:2">
      <c r="A147" t="s">
        <v>3207</v>
      </c>
      <c r="B147" s="62">
        <v>24.72</v>
      </c>
    </row>
    <row r="148" spans="1:2">
      <c r="A148" t="s">
        <v>3208</v>
      </c>
      <c r="B148" s="62">
        <v>195.08</v>
      </c>
    </row>
    <row r="149" spans="1:2">
      <c r="A149" t="s">
        <v>3209</v>
      </c>
      <c r="B149" s="62">
        <v>95.5</v>
      </c>
    </row>
    <row r="150" spans="1:2">
      <c r="A150" t="s">
        <v>3210</v>
      </c>
      <c r="B150" s="62">
        <v>16.95</v>
      </c>
    </row>
    <row r="151" spans="1:2">
      <c r="A151" t="s">
        <v>3211</v>
      </c>
      <c r="B151" s="62">
        <v>124.21</v>
      </c>
    </row>
    <row r="152" spans="1:2">
      <c r="A152" t="s">
        <v>3212</v>
      </c>
      <c r="B152" s="62">
        <v>81.430000000000007</v>
      </c>
    </row>
    <row r="153" spans="1:2">
      <c r="A153" t="s">
        <v>3213</v>
      </c>
      <c r="B153" s="62">
        <v>2.21</v>
      </c>
    </row>
    <row r="154" spans="1:2">
      <c r="A154" t="s">
        <v>3214</v>
      </c>
      <c r="B154" s="62">
        <v>1.9</v>
      </c>
    </row>
    <row r="155" spans="1:2">
      <c r="A155" t="s">
        <v>3215</v>
      </c>
      <c r="B155" s="62">
        <v>781.42</v>
      </c>
    </row>
    <row r="156" spans="1:2">
      <c r="A156" t="s">
        <v>3216</v>
      </c>
      <c r="B156" s="62">
        <v>33.42</v>
      </c>
    </row>
    <row r="157" spans="1:2">
      <c r="A157" t="s">
        <v>3217</v>
      </c>
      <c r="B157" s="62">
        <v>606.22</v>
      </c>
    </row>
    <row r="158" spans="1:2">
      <c r="A158" t="s">
        <v>3218</v>
      </c>
      <c r="B158" s="62">
        <v>36.9</v>
      </c>
    </row>
    <row r="159" spans="1:2">
      <c r="A159" t="s">
        <v>3219</v>
      </c>
      <c r="B159" s="62">
        <v>91.29</v>
      </c>
    </row>
    <row r="160" spans="1:2">
      <c r="A160" t="s">
        <v>3220</v>
      </c>
      <c r="B160" s="62">
        <v>22.21</v>
      </c>
    </row>
    <row r="161" spans="1:2">
      <c r="A161" t="s">
        <v>3221</v>
      </c>
      <c r="B161" s="62">
        <v>195</v>
      </c>
    </row>
    <row r="162" spans="1:2">
      <c r="A162" t="s">
        <v>3222</v>
      </c>
      <c r="B162" s="62">
        <v>825.6</v>
      </c>
    </row>
    <row r="163" spans="1:2">
      <c r="A163" t="s">
        <v>3223</v>
      </c>
      <c r="B163" s="62">
        <v>482.98</v>
      </c>
    </row>
    <row r="164" spans="1:2">
      <c r="A164" t="s">
        <v>3224</v>
      </c>
      <c r="B164" s="62">
        <v>330</v>
      </c>
    </row>
    <row r="165" spans="1:2">
      <c r="A165" t="s">
        <v>3225</v>
      </c>
      <c r="B165" s="62">
        <v>155.27000000000001</v>
      </c>
    </row>
    <row r="166" spans="1:2">
      <c r="A166" t="s">
        <v>3226</v>
      </c>
      <c r="B166" s="62">
        <v>231.2</v>
      </c>
    </row>
    <row r="167" spans="1:2">
      <c r="A167" t="s">
        <v>3227</v>
      </c>
      <c r="B167" s="62">
        <v>168.48</v>
      </c>
    </row>
    <row r="168" spans="1:2">
      <c r="A168" t="s">
        <v>3228</v>
      </c>
      <c r="B168" s="62">
        <v>148.01</v>
      </c>
    </row>
    <row r="169" spans="1:2">
      <c r="A169" t="s">
        <v>3229</v>
      </c>
      <c r="B169" s="62">
        <v>83.65</v>
      </c>
    </row>
    <row r="170" spans="1:2">
      <c r="A170" t="s">
        <v>3230</v>
      </c>
      <c r="B170" s="62">
        <v>276.85000000000002</v>
      </c>
    </row>
    <row r="171" spans="1:2">
      <c r="A171" t="s">
        <v>3231</v>
      </c>
      <c r="B171" s="62">
        <v>415.8</v>
      </c>
    </row>
    <row r="172" spans="1:2">
      <c r="A172" t="s">
        <v>3232</v>
      </c>
      <c r="B172" s="62">
        <v>56.35</v>
      </c>
    </row>
    <row r="173" spans="1:2">
      <c r="A173" t="s">
        <v>3233</v>
      </c>
      <c r="B173" s="62">
        <v>338.23</v>
      </c>
    </row>
    <row r="174" spans="1:2">
      <c r="A174" t="s">
        <v>3234</v>
      </c>
      <c r="B174" s="62">
        <v>884.65</v>
      </c>
    </row>
    <row r="175" spans="1:2">
      <c r="A175" t="s">
        <v>3235</v>
      </c>
      <c r="B175" s="62">
        <v>420.41</v>
      </c>
    </row>
    <row r="176" spans="1:2">
      <c r="A176" t="s">
        <v>3236</v>
      </c>
      <c r="B176" s="62">
        <v>528.46</v>
      </c>
    </row>
    <row r="177" spans="1:2">
      <c r="A177" t="s">
        <v>3237</v>
      </c>
      <c r="B177" s="62">
        <v>175</v>
      </c>
    </row>
    <row r="178" spans="1:2">
      <c r="A178" t="s">
        <v>3238</v>
      </c>
      <c r="B178" s="62">
        <v>667.72</v>
      </c>
    </row>
    <row r="179" spans="1:2">
      <c r="A179" t="s">
        <v>3239</v>
      </c>
      <c r="B179" s="62">
        <v>97.29</v>
      </c>
    </row>
    <row r="180" spans="1:2">
      <c r="A180" t="s">
        <v>3240</v>
      </c>
      <c r="B180" s="62">
        <v>45.09</v>
      </c>
    </row>
    <row r="181" spans="1:2">
      <c r="A181" t="s">
        <v>3241</v>
      </c>
      <c r="B181" s="62">
        <v>600</v>
      </c>
    </row>
    <row r="182" spans="1:2">
      <c r="A182" t="s">
        <v>3242</v>
      </c>
      <c r="B182" s="62">
        <v>340.5</v>
      </c>
    </row>
    <row r="183" spans="1:2">
      <c r="A183" t="s">
        <v>3243</v>
      </c>
      <c r="B183" s="62">
        <v>21.74</v>
      </c>
    </row>
    <row r="184" spans="1:2">
      <c r="A184" t="s">
        <v>3244</v>
      </c>
      <c r="B184" s="62">
        <v>155.28</v>
      </c>
    </row>
    <row r="185" spans="1:2">
      <c r="A185" t="s">
        <v>3245</v>
      </c>
      <c r="B185" s="62">
        <v>155.28</v>
      </c>
    </row>
    <row r="186" spans="1:2">
      <c r="A186" t="s">
        <v>3246</v>
      </c>
      <c r="B186" s="62">
        <v>12.55</v>
      </c>
    </row>
    <row r="187" spans="1:2">
      <c r="A187" t="s">
        <v>3247</v>
      </c>
      <c r="B187" s="62">
        <v>384.52</v>
      </c>
    </row>
    <row r="188" spans="1:2">
      <c r="A188" t="s">
        <v>3248</v>
      </c>
      <c r="B188" s="62">
        <v>336</v>
      </c>
    </row>
    <row r="189" spans="1:2">
      <c r="A189" t="s">
        <v>3249</v>
      </c>
      <c r="B189" s="62">
        <v>288.27999999999997</v>
      </c>
    </row>
    <row r="190" spans="1:2">
      <c r="A190" t="s">
        <v>3250</v>
      </c>
      <c r="B190" s="62">
        <v>454.21</v>
      </c>
    </row>
    <row r="191" spans="1:2">
      <c r="A191" t="s">
        <v>3251</v>
      </c>
      <c r="B191" s="62">
        <v>325.66000000000003</v>
      </c>
    </row>
    <row r="192" spans="1:2">
      <c r="A192" t="s">
        <v>3252</v>
      </c>
      <c r="B192" s="62">
        <v>42.37</v>
      </c>
    </row>
    <row r="193" spans="1:2">
      <c r="A193" t="s">
        <v>3253</v>
      </c>
      <c r="B193" s="62">
        <v>8.6999999999999993</v>
      </c>
    </row>
    <row r="194" spans="1:2">
      <c r="A194" t="s">
        <v>3254</v>
      </c>
      <c r="B194" s="62">
        <v>256</v>
      </c>
    </row>
    <row r="195" spans="1:2">
      <c r="A195" t="s">
        <v>3255</v>
      </c>
      <c r="B195" s="62">
        <v>340.8</v>
      </c>
    </row>
    <row r="196" spans="1:2">
      <c r="A196" t="s">
        <v>3256</v>
      </c>
      <c r="B196" s="62">
        <v>32.729999999999997</v>
      </c>
    </row>
    <row r="197" spans="1:2">
      <c r="A197" t="s">
        <v>3257</v>
      </c>
      <c r="B197" s="62">
        <v>13.87</v>
      </c>
    </row>
    <row r="198" spans="1:2">
      <c r="A198" t="s">
        <v>3258</v>
      </c>
      <c r="B198" s="62">
        <v>77.73</v>
      </c>
    </row>
    <row r="199" spans="1:2">
      <c r="A199" t="s">
        <v>3259</v>
      </c>
      <c r="B199" s="62">
        <v>4.6500000000000004</v>
      </c>
    </row>
    <row r="200" spans="1:2">
      <c r="A200" t="s">
        <v>3260</v>
      </c>
      <c r="B200" s="62">
        <v>105.78</v>
      </c>
    </row>
    <row r="201" spans="1:2">
      <c r="A201" t="s">
        <v>3261</v>
      </c>
      <c r="B201" s="62">
        <v>16.420000000000002</v>
      </c>
    </row>
    <row r="202" spans="1:2">
      <c r="A202" t="s">
        <v>3262</v>
      </c>
      <c r="B202" s="62">
        <v>3.09</v>
      </c>
    </row>
    <row r="203" spans="1:2">
      <c r="A203" t="s">
        <v>3263</v>
      </c>
      <c r="B203" s="62">
        <v>63.48</v>
      </c>
    </row>
    <row r="204" spans="1:2">
      <c r="A204" t="s">
        <v>3264</v>
      </c>
      <c r="B204" s="62">
        <v>1610.46</v>
      </c>
    </row>
    <row r="205" spans="1:2">
      <c r="A205" t="s">
        <v>3265</v>
      </c>
      <c r="B205" s="62">
        <v>329.12</v>
      </c>
    </row>
    <row r="206" spans="1:2">
      <c r="A206" t="s">
        <v>3266</v>
      </c>
      <c r="B206" s="62">
        <v>533.44000000000005</v>
      </c>
    </row>
    <row r="207" spans="1:2">
      <c r="A207" t="s">
        <v>3267</v>
      </c>
      <c r="B207" s="62">
        <v>65.48</v>
      </c>
    </row>
    <row r="208" spans="1:2">
      <c r="A208" t="s">
        <v>3268</v>
      </c>
      <c r="B208" s="62">
        <v>45.68</v>
      </c>
    </row>
    <row r="209" spans="1:2">
      <c r="A209" t="s">
        <v>3269</v>
      </c>
      <c r="B209" s="62">
        <v>41.82</v>
      </c>
    </row>
    <row r="210" spans="1:2">
      <c r="A210" t="s">
        <v>3270</v>
      </c>
      <c r="B210" s="62">
        <v>133.71</v>
      </c>
    </row>
    <row r="211" spans="1:2">
      <c r="A211" t="s">
        <v>3271</v>
      </c>
      <c r="B211" s="62">
        <v>303.83999999999997</v>
      </c>
    </row>
    <row r="212" spans="1:2">
      <c r="A212" t="s">
        <v>3272</v>
      </c>
      <c r="B212" s="62">
        <v>161.38</v>
      </c>
    </row>
    <row r="213" spans="1:2">
      <c r="A213" t="s">
        <v>3273</v>
      </c>
      <c r="B213" s="62">
        <v>630</v>
      </c>
    </row>
    <row r="214" spans="1:2">
      <c r="A214" t="s">
        <v>3274</v>
      </c>
      <c r="B214" s="62">
        <v>189.82</v>
      </c>
    </row>
    <row r="215" spans="1:2">
      <c r="A215" t="s">
        <v>3275</v>
      </c>
      <c r="B215" s="62">
        <v>359.66</v>
      </c>
    </row>
    <row r="216" spans="1:2">
      <c r="A216" t="s">
        <v>3276</v>
      </c>
      <c r="B216" s="62">
        <v>237.67</v>
      </c>
    </row>
    <row r="217" spans="1:2">
      <c r="A217" t="s">
        <v>3277</v>
      </c>
      <c r="B217" s="62">
        <v>75.38</v>
      </c>
    </row>
    <row r="218" spans="1:2">
      <c r="A218" t="s">
        <v>3278</v>
      </c>
      <c r="B218" s="62">
        <v>102.98</v>
      </c>
    </row>
    <row r="219" spans="1:2">
      <c r="A219" t="s">
        <v>3279</v>
      </c>
      <c r="B219" s="62">
        <v>52.19</v>
      </c>
    </row>
    <row r="220" spans="1:2">
      <c r="A220" t="s">
        <v>3280</v>
      </c>
      <c r="B220" s="62">
        <v>26</v>
      </c>
    </row>
    <row r="221" spans="1:2">
      <c r="A221" t="s">
        <v>3281</v>
      </c>
      <c r="B221" s="62">
        <v>145.77000000000001</v>
      </c>
    </row>
    <row r="222" spans="1:2">
      <c r="A222" t="s">
        <v>3282</v>
      </c>
      <c r="B222" s="62">
        <v>82.87</v>
      </c>
    </row>
    <row r="223" spans="1:2">
      <c r="A223" t="s">
        <v>3283</v>
      </c>
      <c r="B223" s="62">
        <v>42.59</v>
      </c>
    </row>
    <row r="224" spans="1:2">
      <c r="A224" t="s">
        <v>3284</v>
      </c>
      <c r="B224" s="62">
        <v>158.76</v>
      </c>
    </row>
    <row r="225" spans="1:2">
      <c r="A225" t="s">
        <v>3285</v>
      </c>
      <c r="B225" s="62">
        <v>158.76</v>
      </c>
    </row>
    <row r="226" spans="1:2">
      <c r="A226" t="s">
        <v>3286</v>
      </c>
      <c r="B226" s="62">
        <v>120</v>
      </c>
    </row>
    <row r="227" spans="1:2">
      <c r="A227" t="s">
        <v>3287</v>
      </c>
      <c r="B227" s="62">
        <v>158.76</v>
      </c>
    </row>
    <row r="228" spans="1:2">
      <c r="A228" t="s">
        <v>3288</v>
      </c>
      <c r="B228" s="62">
        <v>360</v>
      </c>
    </row>
    <row r="229" spans="1:2">
      <c r="A229" t="s">
        <v>3289</v>
      </c>
      <c r="B229" s="62">
        <v>1173.1500000000001</v>
      </c>
    </row>
    <row r="230" spans="1:2">
      <c r="A230" t="s">
        <v>3290</v>
      </c>
      <c r="B230" s="62">
        <v>499.69</v>
      </c>
    </row>
    <row r="231" spans="1:2">
      <c r="A231" t="s">
        <v>3291</v>
      </c>
      <c r="B231" s="62">
        <v>15.02</v>
      </c>
    </row>
    <row r="232" spans="1:2">
      <c r="A232" t="s">
        <v>3292</v>
      </c>
      <c r="B232" s="62">
        <v>42.96</v>
      </c>
    </row>
    <row r="233" spans="1:2">
      <c r="A233" t="s">
        <v>3293</v>
      </c>
      <c r="B233" s="62">
        <v>67.92</v>
      </c>
    </row>
    <row r="234" spans="1:2">
      <c r="A234" t="s">
        <v>3294</v>
      </c>
      <c r="B234" s="62">
        <v>243.87</v>
      </c>
    </row>
    <row r="235" spans="1:2">
      <c r="A235" t="s">
        <v>3295</v>
      </c>
      <c r="B235" s="62">
        <v>124.15</v>
      </c>
    </row>
    <row r="236" spans="1:2">
      <c r="A236" t="s">
        <v>3296</v>
      </c>
      <c r="B236" s="62">
        <v>1341.6</v>
      </c>
    </row>
    <row r="237" spans="1:2">
      <c r="A237" t="s">
        <v>3297</v>
      </c>
      <c r="B237" s="62">
        <v>60.15</v>
      </c>
    </row>
    <row r="238" spans="1:2">
      <c r="A238" t="s">
        <v>3298</v>
      </c>
      <c r="B238" s="62">
        <v>128.24</v>
      </c>
    </row>
    <row r="239" spans="1:2">
      <c r="A239" t="s">
        <v>3299</v>
      </c>
      <c r="B239" s="62">
        <v>326.44</v>
      </c>
    </row>
    <row r="240" spans="1:2">
      <c r="A240" t="s">
        <v>3300</v>
      </c>
      <c r="B240" s="62">
        <v>17.8</v>
      </c>
    </row>
    <row r="241" spans="1:2">
      <c r="A241" t="s">
        <v>3301</v>
      </c>
      <c r="B241" s="62">
        <v>81.5</v>
      </c>
    </row>
    <row r="242" spans="1:2">
      <c r="A242" t="s">
        <v>3302</v>
      </c>
      <c r="B242" s="62">
        <v>34.159999999999997</v>
      </c>
    </row>
    <row r="243" spans="1:2">
      <c r="A243" t="s">
        <v>3303</v>
      </c>
      <c r="B243" s="62">
        <v>44.38</v>
      </c>
    </row>
    <row r="244" spans="1:2">
      <c r="A244" t="s">
        <v>3304</v>
      </c>
      <c r="B244" s="62">
        <v>70.48</v>
      </c>
    </row>
    <row r="245" spans="1:2">
      <c r="A245" t="s">
        <v>3305</v>
      </c>
      <c r="B245" s="62">
        <v>79.73</v>
      </c>
    </row>
    <row r="246" spans="1:2">
      <c r="A246" t="s">
        <v>3306</v>
      </c>
      <c r="B246" s="62">
        <v>74.739999999999995</v>
      </c>
    </row>
    <row r="247" spans="1:2">
      <c r="A247" t="s">
        <v>3307</v>
      </c>
      <c r="B247" s="62">
        <v>131.83000000000001</v>
      </c>
    </row>
    <row r="248" spans="1:2">
      <c r="A248" t="s">
        <v>3308</v>
      </c>
      <c r="B248" s="62">
        <v>42.25</v>
      </c>
    </row>
    <row r="249" spans="1:2">
      <c r="A249" t="s">
        <v>3309</v>
      </c>
      <c r="B249" s="62">
        <v>412.88</v>
      </c>
    </row>
    <row r="250" spans="1:2">
      <c r="A250" t="s">
        <v>3310</v>
      </c>
      <c r="B250" s="62">
        <v>164.48</v>
      </c>
    </row>
    <row r="251" spans="1:2">
      <c r="A251" t="s">
        <v>3311</v>
      </c>
      <c r="B251" s="62">
        <v>1103.6600000000001</v>
      </c>
    </row>
    <row r="252" spans="1:2">
      <c r="A252" t="s">
        <v>3312</v>
      </c>
      <c r="B252" s="62">
        <v>1104.46</v>
      </c>
    </row>
    <row r="253" spans="1:2">
      <c r="A253" t="s">
        <v>3313</v>
      </c>
      <c r="B253" s="62">
        <v>572.54</v>
      </c>
    </row>
    <row r="254" spans="1:2">
      <c r="A254" t="s">
        <v>3314</v>
      </c>
      <c r="B254" s="62">
        <v>475</v>
      </c>
    </row>
    <row r="255" spans="1:2">
      <c r="A255" t="s">
        <v>3315</v>
      </c>
      <c r="B255" s="62">
        <v>290.25</v>
      </c>
    </row>
    <row r="256" spans="1:2">
      <c r="A256" t="s">
        <v>3316</v>
      </c>
      <c r="B256" s="62">
        <v>241.63</v>
      </c>
    </row>
    <row r="257" spans="1:2">
      <c r="A257" t="s">
        <v>3317</v>
      </c>
      <c r="B257" s="62">
        <v>326.39999999999998</v>
      </c>
    </row>
    <row r="258" spans="1:2">
      <c r="A258" t="s">
        <v>3318</v>
      </c>
      <c r="B258" s="62">
        <v>846.72</v>
      </c>
    </row>
    <row r="259" spans="1:2">
      <c r="A259" t="s">
        <v>3319</v>
      </c>
      <c r="B259" s="62">
        <v>22.55</v>
      </c>
    </row>
    <row r="260" spans="1:2">
      <c r="A260" t="s">
        <v>3320</v>
      </c>
      <c r="B260" s="62">
        <v>2167</v>
      </c>
    </row>
    <row r="261" spans="1:2">
      <c r="A261" t="s">
        <v>3321</v>
      </c>
      <c r="B261" s="62">
        <v>347</v>
      </c>
    </row>
    <row r="262" spans="1:2">
      <c r="A262" t="s">
        <v>3322</v>
      </c>
      <c r="B262" s="62">
        <v>286.41000000000003</v>
      </c>
    </row>
    <row r="263" spans="1:2">
      <c r="A263" t="s">
        <v>3323</v>
      </c>
      <c r="B263" s="62">
        <v>146.54</v>
      </c>
    </row>
    <row r="264" spans="1:2">
      <c r="A264" t="s">
        <v>3324</v>
      </c>
      <c r="B264" s="62">
        <v>26.21</v>
      </c>
    </row>
    <row r="265" spans="1:2">
      <c r="A265" t="s">
        <v>3325</v>
      </c>
      <c r="B265" s="62">
        <v>7.18</v>
      </c>
    </row>
    <row r="266" spans="1:2">
      <c r="A266" t="s">
        <v>3326</v>
      </c>
      <c r="B266" s="62">
        <v>76.23</v>
      </c>
    </row>
    <row r="267" spans="1:2">
      <c r="A267" t="s">
        <v>3327</v>
      </c>
      <c r="B267" s="62">
        <v>76.23</v>
      </c>
    </row>
    <row r="268" spans="1:2">
      <c r="A268" t="s">
        <v>3327</v>
      </c>
      <c r="B268" s="62">
        <v>36</v>
      </c>
    </row>
    <row r="269" spans="1:2">
      <c r="A269" t="s">
        <v>3328</v>
      </c>
      <c r="B269" s="62">
        <v>66.540000000000006</v>
      </c>
    </row>
    <row r="270" spans="1:2">
      <c r="A270" t="s">
        <v>3329</v>
      </c>
      <c r="B270" s="62">
        <v>38.58</v>
      </c>
    </row>
    <row r="271" spans="1:2">
      <c r="A271" t="s">
        <v>3330</v>
      </c>
      <c r="B271" s="62">
        <v>49.9</v>
      </c>
    </row>
    <row r="272" spans="1:2">
      <c r="A272" t="s">
        <v>3331</v>
      </c>
      <c r="B272" s="62">
        <v>74.650000000000006</v>
      </c>
    </row>
    <row r="273" spans="1:2">
      <c r="A273" t="s">
        <v>3332</v>
      </c>
      <c r="B273" s="62">
        <v>85.71</v>
      </c>
    </row>
    <row r="274" spans="1:2">
      <c r="A274" t="s">
        <v>3333</v>
      </c>
      <c r="B274" s="62">
        <v>387.62</v>
      </c>
    </row>
    <row r="275" spans="1:2">
      <c r="A275" t="s">
        <v>3334</v>
      </c>
      <c r="B275" s="62">
        <v>342.27</v>
      </c>
    </row>
    <row r="276" spans="1:2">
      <c r="A276" t="s">
        <v>3335</v>
      </c>
      <c r="B276" s="62">
        <v>588.91</v>
      </c>
    </row>
    <row r="277" spans="1:2">
      <c r="A277" t="s">
        <v>3336</v>
      </c>
      <c r="B277" s="62">
        <v>54.06</v>
      </c>
    </row>
    <row r="278" spans="1:2">
      <c r="A278" t="s">
        <v>3337</v>
      </c>
      <c r="B278" s="62">
        <v>2459.59</v>
      </c>
    </row>
    <row r="279" spans="1:2">
      <c r="A279" t="s">
        <v>3338</v>
      </c>
      <c r="B279" s="62">
        <v>558.34</v>
      </c>
    </row>
    <row r="280" spans="1:2">
      <c r="A280" t="s">
        <v>3339</v>
      </c>
      <c r="B280" s="62">
        <v>1311.76</v>
      </c>
    </row>
    <row r="281" spans="1:2">
      <c r="A281" t="s">
        <v>3340</v>
      </c>
      <c r="B281" s="62">
        <v>290.77</v>
      </c>
    </row>
    <row r="282" spans="1:2">
      <c r="A282" t="s">
        <v>3341</v>
      </c>
      <c r="B282" s="62">
        <v>87.62</v>
      </c>
    </row>
    <row r="283" spans="1:2">
      <c r="A283" t="s">
        <v>3342</v>
      </c>
      <c r="B283" s="62">
        <v>581.42999999999995</v>
      </c>
    </row>
    <row r="284" spans="1:2">
      <c r="A284" t="s">
        <v>3343</v>
      </c>
      <c r="B284" s="62">
        <v>328.23</v>
      </c>
    </row>
    <row r="285" spans="1:2">
      <c r="A285" t="s">
        <v>3344</v>
      </c>
      <c r="B285" s="62">
        <v>474.59</v>
      </c>
    </row>
    <row r="286" spans="1:2">
      <c r="A286" t="s">
        <v>3345</v>
      </c>
      <c r="B286" s="62">
        <v>59.47</v>
      </c>
    </row>
    <row r="287" spans="1:2">
      <c r="A287" t="s">
        <v>3346</v>
      </c>
      <c r="B287" s="62">
        <v>335.91</v>
      </c>
    </row>
    <row r="288" spans="1:2">
      <c r="A288" t="s">
        <v>3347</v>
      </c>
      <c r="B288" s="62">
        <v>40.53</v>
      </c>
    </row>
    <row r="289" spans="1:2">
      <c r="A289" t="s">
        <v>3348</v>
      </c>
      <c r="B289" s="62">
        <v>66.08</v>
      </c>
    </row>
    <row r="290" spans="1:2">
      <c r="A290" t="s">
        <v>3349</v>
      </c>
      <c r="B290" s="62">
        <v>95.34</v>
      </c>
    </row>
    <row r="291" spans="1:2">
      <c r="A291" t="s">
        <v>3350</v>
      </c>
      <c r="B291" s="62">
        <v>42.46</v>
      </c>
    </row>
    <row r="292" spans="1:2">
      <c r="A292" t="s">
        <v>3351</v>
      </c>
      <c r="B292" s="62">
        <v>74.180000000000007</v>
      </c>
    </row>
    <row r="293" spans="1:2">
      <c r="A293" t="s">
        <v>3352</v>
      </c>
      <c r="B293" s="62">
        <v>65.83</v>
      </c>
    </row>
    <row r="294" spans="1:2">
      <c r="A294" t="s">
        <v>3353</v>
      </c>
      <c r="B294" s="62">
        <v>87.79</v>
      </c>
    </row>
    <row r="295" spans="1:2">
      <c r="A295" t="s">
        <v>3354</v>
      </c>
      <c r="B295" s="62">
        <v>1253.83</v>
      </c>
    </row>
    <row r="296" spans="1:2">
      <c r="A296" t="s">
        <v>3355</v>
      </c>
      <c r="B296" s="62">
        <v>1412.96</v>
      </c>
    </row>
    <row r="297" spans="1:2">
      <c r="A297" t="s">
        <v>3356</v>
      </c>
      <c r="B297" s="62">
        <v>1500.54</v>
      </c>
    </row>
    <row r="298" spans="1:2">
      <c r="A298" t="s">
        <v>3357</v>
      </c>
      <c r="B298" s="62">
        <v>371.02</v>
      </c>
    </row>
    <row r="299" spans="1:2">
      <c r="A299" t="s">
        <v>3358</v>
      </c>
      <c r="B299" s="62">
        <v>429.01</v>
      </c>
    </row>
    <row r="300" spans="1:2">
      <c r="A300" t="s">
        <v>3359</v>
      </c>
      <c r="B300" s="62">
        <v>156.4</v>
      </c>
    </row>
    <row r="301" spans="1:2">
      <c r="A301" t="s">
        <v>3360</v>
      </c>
      <c r="B301" s="62">
        <v>20.04</v>
      </c>
    </row>
    <row r="302" spans="1:2">
      <c r="A302" t="s">
        <v>3361</v>
      </c>
      <c r="B302" s="62">
        <v>32.630000000000003</v>
      </c>
    </row>
    <row r="303" spans="1:2">
      <c r="A303" t="s">
        <v>3362</v>
      </c>
      <c r="B303" s="62">
        <v>60.76</v>
      </c>
    </row>
    <row r="304" spans="1:2">
      <c r="A304" t="s">
        <v>3363</v>
      </c>
      <c r="B304" s="62">
        <v>74.48</v>
      </c>
    </row>
    <row r="305" spans="1:2">
      <c r="A305" t="s">
        <v>3364</v>
      </c>
      <c r="B305" s="62">
        <v>78.09</v>
      </c>
    </row>
    <row r="306" spans="1:2">
      <c r="A306" t="s">
        <v>3365</v>
      </c>
      <c r="B306" s="62">
        <v>59.54</v>
      </c>
    </row>
    <row r="307" spans="1:2">
      <c r="A307" t="s">
        <v>3366</v>
      </c>
      <c r="B307" s="62">
        <v>60.76</v>
      </c>
    </row>
    <row r="308" spans="1:2">
      <c r="A308" t="s">
        <v>3367</v>
      </c>
      <c r="B308" s="62">
        <v>2080.56</v>
      </c>
    </row>
    <row r="309" spans="1:2">
      <c r="A309" t="s">
        <v>3368</v>
      </c>
      <c r="B309" s="62">
        <v>18.82</v>
      </c>
    </row>
    <row r="310" spans="1:2">
      <c r="A310" t="s">
        <v>3369</v>
      </c>
      <c r="B310" s="62">
        <v>56.91</v>
      </c>
    </row>
    <row r="311" spans="1:2">
      <c r="A311" t="s">
        <v>3370</v>
      </c>
      <c r="B311" s="62">
        <v>872.91</v>
      </c>
    </row>
    <row r="312" spans="1:2">
      <c r="A312" t="s">
        <v>3371</v>
      </c>
      <c r="B312" s="62">
        <v>5.95</v>
      </c>
    </row>
    <row r="313" spans="1:2">
      <c r="A313" t="s">
        <v>3372</v>
      </c>
      <c r="B313" s="62">
        <v>547.86</v>
      </c>
    </row>
    <row r="314" spans="1:2">
      <c r="A314" t="s">
        <v>3373</v>
      </c>
      <c r="B314" s="62">
        <v>1352.51</v>
      </c>
    </row>
    <row r="315" spans="1:2">
      <c r="A315" t="s">
        <v>3374</v>
      </c>
      <c r="B315" s="62">
        <v>396</v>
      </c>
    </row>
    <row r="316" spans="1:2">
      <c r="A316" t="s">
        <v>3375</v>
      </c>
      <c r="B316" s="62">
        <v>368.2</v>
      </c>
    </row>
    <row r="317" spans="1:2">
      <c r="A317" t="s">
        <v>3376</v>
      </c>
      <c r="B317" s="62">
        <v>801</v>
      </c>
    </row>
    <row r="318" spans="1:2">
      <c r="A318" t="s">
        <v>3377</v>
      </c>
      <c r="B318" s="62">
        <v>64.28</v>
      </c>
    </row>
    <row r="319" spans="1:2">
      <c r="A319" t="s">
        <v>3378</v>
      </c>
      <c r="B319" s="62">
        <v>7.15</v>
      </c>
    </row>
    <row r="320" spans="1:2">
      <c r="A320" t="s">
        <v>3379</v>
      </c>
      <c r="B320" s="62">
        <v>322.37</v>
      </c>
    </row>
    <row r="321" spans="1:2">
      <c r="A321" t="s">
        <v>3380</v>
      </c>
      <c r="B321" s="62">
        <v>846.44</v>
      </c>
    </row>
    <row r="322" spans="1:2">
      <c r="A322" t="s">
        <v>3381</v>
      </c>
      <c r="B322" s="62">
        <v>259.64</v>
      </c>
    </row>
    <row r="323" spans="1:2">
      <c r="A323" t="s">
        <v>3382</v>
      </c>
      <c r="B323" s="62">
        <v>241.24</v>
      </c>
    </row>
    <row r="324" spans="1:2">
      <c r="A324" t="s">
        <v>3383</v>
      </c>
      <c r="B324" s="62">
        <v>670.56</v>
      </c>
    </row>
    <row r="325" spans="1:2">
      <c r="A325" t="s">
        <v>3384</v>
      </c>
      <c r="B325" s="62">
        <v>42.85</v>
      </c>
    </row>
    <row r="326" spans="1:2">
      <c r="A326" t="s">
        <v>3385</v>
      </c>
      <c r="B326" s="62">
        <v>89.62</v>
      </c>
    </row>
    <row r="327" spans="1:2">
      <c r="A327" t="s">
        <v>3386</v>
      </c>
      <c r="B327" s="62">
        <v>76.8</v>
      </c>
    </row>
    <row r="328" spans="1:2">
      <c r="A328" t="s">
        <v>3387</v>
      </c>
      <c r="B328" s="62">
        <v>5.13</v>
      </c>
    </row>
    <row r="329" spans="1:2">
      <c r="A329" t="s">
        <v>3388</v>
      </c>
      <c r="B329" s="62">
        <v>1130.44</v>
      </c>
    </row>
    <row r="330" spans="1:2">
      <c r="A330" t="s">
        <v>3389</v>
      </c>
      <c r="B330" s="62">
        <v>4011.57</v>
      </c>
    </row>
    <row r="331" spans="1:2">
      <c r="A331" t="s">
        <v>3390</v>
      </c>
      <c r="B331" s="62">
        <v>69.94</v>
      </c>
    </row>
    <row r="332" spans="1:2">
      <c r="A332" t="s">
        <v>3391</v>
      </c>
      <c r="B332" s="62">
        <v>12.3</v>
      </c>
    </row>
    <row r="333" spans="1:2">
      <c r="A333" t="s">
        <v>3392</v>
      </c>
      <c r="B333" s="62">
        <v>1542.89</v>
      </c>
    </row>
    <row r="334" spans="1:2">
      <c r="A334" t="s">
        <v>3393</v>
      </c>
      <c r="B334" s="62">
        <v>545.52</v>
      </c>
    </row>
    <row r="335" spans="1:2">
      <c r="A335" t="s">
        <v>3394</v>
      </c>
      <c r="B335" s="62">
        <v>2393.96</v>
      </c>
    </row>
    <row r="336" spans="1:2">
      <c r="A336" t="s">
        <v>3395</v>
      </c>
      <c r="B336" s="62">
        <v>22.2</v>
      </c>
    </row>
    <row r="337" spans="1:2">
      <c r="A337" t="s">
        <v>3396</v>
      </c>
      <c r="B337" s="62">
        <v>577.41</v>
      </c>
    </row>
    <row r="338" spans="1:2">
      <c r="A338" t="s">
        <v>3397</v>
      </c>
      <c r="B338" s="62">
        <v>1406.92</v>
      </c>
    </row>
    <row r="339" spans="1:2">
      <c r="A339" t="s">
        <v>3398</v>
      </c>
      <c r="B339" s="62">
        <v>242.31</v>
      </c>
    </row>
    <row r="340" spans="1:2">
      <c r="A340" t="s">
        <v>3399</v>
      </c>
      <c r="B340" s="62">
        <v>68.3</v>
      </c>
    </row>
    <row r="341" spans="1:2">
      <c r="A341" t="s">
        <v>3400</v>
      </c>
      <c r="B341" s="62">
        <v>86.6</v>
      </c>
    </row>
    <row r="342" spans="1:2">
      <c r="A342" t="s">
        <v>3401</v>
      </c>
      <c r="B342" s="62">
        <v>28.52</v>
      </c>
    </row>
    <row r="343" spans="1:2">
      <c r="A343" t="s">
        <v>3402</v>
      </c>
      <c r="B343" s="62">
        <v>1719.4</v>
      </c>
    </row>
    <row r="344" spans="1:2">
      <c r="A344" t="s">
        <v>3403</v>
      </c>
      <c r="B344" s="62">
        <v>228.48</v>
      </c>
    </row>
    <row r="345" spans="1:2">
      <c r="A345" t="s">
        <v>3404</v>
      </c>
      <c r="B345" s="62">
        <v>677.53</v>
      </c>
    </row>
    <row r="346" spans="1:2">
      <c r="A346" t="s">
        <v>3405</v>
      </c>
      <c r="B346" s="62">
        <v>6.98</v>
      </c>
    </row>
    <row r="347" spans="1:2">
      <c r="A347" t="s">
        <v>3406</v>
      </c>
      <c r="B347" s="62">
        <v>979.93</v>
      </c>
    </row>
    <row r="348" spans="1:2">
      <c r="A348" t="s">
        <v>3407</v>
      </c>
      <c r="B348" s="62">
        <v>73.92</v>
      </c>
    </row>
    <row r="349" spans="1:2">
      <c r="A349" t="s">
        <v>3408</v>
      </c>
      <c r="B349" s="62">
        <v>26.13</v>
      </c>
    </row>
    <row r="350" spans="1:2">
      <c r="A350" t="s">
        <v>3409</v>
      </c>
      <c r="B350" s="62">
        <v>704.2</v>
      </c>
    </row>
    <row r="351" spans="1:2">
      <c r="A351" t="s">
        <v>3410</v>
      </c>
      <c r="B351" s="62">
        <v>1090.3599999999999</v>
      </c>
    </row>
    <row r="352" spans="1:2">
      <c r="A352" t="s">
        <v>3411</v>
      </c>
      <c r="B352" s="62">
        <v>1129.8399999999999</v>
      </c>
    </row>
    <row r="353" spans="1:2">
      <c r="A353" t="s">
        <v>3412</v>
      </c>
      <c r="B353" s="62">
        <v>119.81</v>
      </c>
    </row>
    <row r="354" spans="1:2">
      <c r="A354" t="s">
        <v>3413</v>
      </c>
      <c r="B354" s="62">
        <v>135</v>
      </c>
    </row>
    <row r="355" spans="1:2">
      <c r="A355" t="s">
        <v>3414</v>
      </c>
      <c r="B355" s="62">
        <v>56.16</v>
      </c>
    </row>
    <row r="356" spans="1:2">
      <c r="A356" t="s">
        <v>3415</v>
      </c>
      <c r="B356" s="62">
        <v>13.98</v>
      </c>
    </row>
    <row r="357" spans="1:2">
      <c r="A357" t="s">
        <v>3416</v>
      </c>
      <c r="B357" s="62">
        <v>88.23</v>
      </c>
    </row>
    <row r="358" spans="1:2">
      <c r="A358" t="s">
        <v>3417</v>
      </c>
      <c r="B358" s="62">
        <v>28.26</v>
      </c>
    </row>
    <row r="359" spans="1:2">
      <c r="A359" t="s">
        <v>3418</v>
      </c>
      <c r="B359" s="62">
        <v>240.46</v>
      </c>
    </row>
    <row r="360" spans="1:2">
      <c r="A360" t="s">
        <v>3419</v>
      </c>
      <c r="B360" s="62">
        <v>411.84</v>
      </c>
    </row>
    <row r="361" spans="1:2">
      <c r="A361" t="s">
        <v>3420</v>
      </c>
      <c r="B361" s="62">
        <v>280.8</v>
      </c>
    </row>
    <row r="362" spans="1:2">
      <c r="A362" t="s">
        <v>3421</v>
      </c>
      <c r="B362" s="62">
        <v>482.97</v>
      </c>
    </row>
    <row r="363" spans="1:2">
      <c r="A363" t="s">
        <v>3422</v>
      </c>
      <c r="B363" s="62">
        <v>223.04</v>
      </c>
    </row>
    <row r="364" spans="1:2">
      <c r="A364" t="s">
        <v>3423</v>
      </c>
      <c r="B364" s="62">
        <v>173</v>
      </c>
    </row>
    <row r="365" spans="1:2">
      <c r="A365" t="s">
        <v>3424</v>
      </c>
      <c r="B365" s="62">
        <v>205.75</v>
      </c>
    </row>
    <row r="366" spans="1:2">
      <c r="A366" t="s">
        <v>3425</v>
      </c>
      <c r="B366" s="62">
        <v>88.1</v>
      </c>
    </row>
    <row r="367" spans="1:2">
      <c r="A367" t="s">
        <v>3426</v>
      </c>
      <c r="B367" s="62">
        <v>64.319999999999993</v>
      </c>
    </row>
    <row r="368" spans="1:2">
      <c r="A368" t="s">
        <v>3427</v>
      </c>
      <c r="B368" s="62">
        <v>98.59</v>
      </c>
    </row>
    <row r="369" spans="1:2">
      <c r="A369" t="s">
        <v>3428</v>
      </c>
      <c r="B369" s="62">
        <v>29.6</v>
      </c>
    </row>
    <row r="370" spans="1:2">
      <c r="A370" t="s">
        <v>3429</v>
      </c>
      <c r="B370" s="62">
        <v>78.8</v>
      </c>
    </row>
    <row r="371" spans="1:2">
      <c r="A371" t="s">
        <v>3430</v>
      </c>
      <c r="B371" s="62">
        <v>117.07</v>
      </c>
    </row>
    <row r="372" spans="1:2">
      <c r="A372" t="s">
        <v>3431</v>
      </c>
      <c r="B372" s="62">
        <v>270.64999999999998</v>
      </c>
    </row>
    <row r="373" spans="1:2">
      <c r="A373" t="s">
        <v>3432</v>
      </c>
      <c r="B373" s="62">
        <v>185.6</v>
      </c>
    </row>
    <row r="374" spans="1:2">
      <c r="A374" t="s">
        <v>3433</v>
      </c>
      <c r="B374" s="62">
        <v>225.6</v>
      </c>
    </row>
    <row r="375" spans="1:2">
      <c r="A375" t="s">
        <v>3434</v>
      </c>
      <c r="B375" s="62">
        <v>228.74</v>
      </c>
    </row>
    <row r="376" spans="1:2">
      <c r="A376" t="s">
        <v>3435</v>
      </c>
      <c r="B376" s="62">
        <v>71.260000000000005</v>
      </c>
    </row>
    <row r="377" spans="1:2">
      <c r="A377" t="s">
        <v>3436</v>
      </c>
      <c r="B377" s="62">
        <v>806.6</v>
      </c>
    </row>
    <row r="378" spans="1:2">
      <c r="A378" t="s">
        <v>3437</v>
      </c>
      <c r="B378" s="62">
        <v>411.84</v>
      </c>
    </row>
    <row r="379" spans="1:2">
      <c r="A379" t="s">
        <v>3438</v>
      </c>
      <c r="B379" s="62">
        <v>2.2799999999999998</v>
      </c>
    </row>
    <row r="380" spans="1:2">
      <c r="A380" t="s">
        <v>3439</v>
      </c>
      <c r="B380" s="62">
        <v>2.8</v>
      </c>
    </row>
    <row r="381" spans="1:2">
      <c r="A381" t="s">
        <v>3440</v>
      </c>
      <c r="B381" s="62">
        <v>33.18</v>
      </c>
    </row>
    <row r="382" spans="1:2">
      <c r="A382" t="s">
        <v>3441</v>
      </c>
      <c r="B382" s="62">
        <v>442.76</v>
      </c>
    </row>
    <row r="383" spans="1:2">
      <c r="A383" t="s">
        <v>3442</v>
      </c>
      <c r="B383" s="62">
        <v>93.98</v>
      </c>
    </row>
    <row r="384" spans="1:2">
      <c r="A384" t="s">
        <v>3443</v>
      </c>
      <c r="B384" s="62">
        <v>138.94999999999999</v>
      </c>
    </row>
    <row r="385" spans="1:2">
      <c r="A385" t="s">
        <v>3444</v>
      </c>
      <c r="B385" s="62">
        <v>246.14</v>
      </c>
    </row>
    <row r="386" spans="1:2">
      <c r="A386" t="s">
        <v>3445</v>
      </c>
      <c r="B386" s="62">
        <v>47.82</v>
      </c>
    </row>
    <row r="387" spans="1:2">
      <c r="A387" t="s">
        <v>3446</v>
      </c>
      <c r="B387" s="62">
        <v>22.8</v>
      </c>
    </row>
    <row r="388" spans="1:2">
      <c r="A388" t="s">
        <v>3447</v>
      </c>
      <c r="B388" s="62">
        <v>7.74</v>
      </c>
    </row>
    <row r="389" spans="1:2">
      <c r="A389" t="s">
        <v>3448</v>
      </c>
      <c r="B389" s="62">
        <v>299.92</v>
      </c>
    </row>
    <row r="390" spans="1:2">
      <c r="A390" t="s">
        <v>3449</v>
      </c>
      <c r="B390" s="62">
        <v>40.43</v>
      </c>
    </row>
    <row r="391" spans="1:2">
      <c r="A391" t="s">
        <v>3450</v>
      </c>
      <c r="B391" s="62">
        <v>1.5</v>
      </c>
    </row>
    <row r="392" spans="1:2">
      <c r="A392" t="s">
        <v>3451</v>
      </c>
      <c r="B392" s="62">
        <v>7.34</v>
      </c>
    </row>
    <row r="393" spans="1:2">
      <c r="A393" t="s">
        <v>3452</v>
      </c>
      <c r="B393" s="62">
        <v>1.82</v>
      </c>
    </row>
    <row r="394" spans="1:2">
      <c r="A394" t="s">
        <v>3453</v>
      </c>
      <c r="B394" s="62">
        <v>25.02</v>
      </c>
    </row>
    <row r="395" spans="1:2">
      <c r="A395" t="s">
        <v>3454</v>
      </c>
      <c r="B395" s="62">
        <v>67.08</v>
      </c>
    </row>
    <row r="396" spans="1:2">
      <c r="A396" t="s">
        <v>3455</v>
      </c>
      <c r="B396" s="62">
        <v>2</v>
      </c>
    </row>
    <row r="397" spans="1:2">
      <c r="A397" t="s">
        <v>3456</v>
      </c>
      <c r="B397" s="62">
        <v>143.6</v>
      </c>
    </row>
    <row r="398" spans="1:2">
      <c r="A398" t="s">
        <v>3457</v>
      </c>
      <c r="B398" s="62">
        <v>24.5</v>
      </c>
    </row>
    <row r="399" spans="1:2">
      <c r="A399" t="s">
        <v>3458</v>
      </c>
      <c r="B399" s="62">
        <v>418.56</v>
      </c>
    </row>
    <row r="400" spans="1:2">
      <c r="A400" t="s">
        <v>3459</v>
      </c>
      <c r="B400" s="62">
        <v>673.02</v>
      </c>
    </row>
    <row r="401" spans="1:2">
      <c r="A401" t="s">
        <v>3460</v>
      </c>
      <c r="B401" s="62">
        <v>652.66999999999996</v>
      </c>
    </row>
    <row r="402" spans="1:2">
      <c r="A402" t="s">
        <v>3461</v>
      </c>
      <c r="B402" s="62">
        <v>1129.8699999999999</v>
      </c>
    </row>
    <row r="403" spans="1:2">
      <c r="A403" t="s">
        <v>3462</v>
      </c>
      <c r="B403" s="62">
        <v>2126.4</v>
      </c>
    </row>
    <row r="404" spans="1:2">
      <c r="A404" t="s">
        <v>3463</v>
      </c>
      <c r="B404" s="62">
        <v>620.63</v>
      </c>
    </row>
    <row r="405" spans="1:2">
      <c r="A405" t="s">
        <v>3464</v>
      </c>
      <c r="B405" s="62">
        <v>1011.84</v>
      </c>
    </row>
    <row r="406" spans="1:2">
      <c r="A406" t="s">
        <v>3465</v>
      </c>
      <c r="B406" s="62">
        <v>537.6</v>
      </c>
    </row>
    <row r="407" spans="1:2">
      <c r="A407" t="s">
        <v>3466</v>
      </c>
      <c r="B407" s="62">
        <v>1622.4</v>
      </c>
    </row>
    <row r="408" spans="1:2">
      <c r="A408" t="s">
        <v>3467</v>
      </c>
      <c r="B408" s="62">
        <v>383.04</v>
      </c>
    </row>
    <row r="409" spans="1:2">
      <c r="A409" t="s">
        <v>3468</v>
      </c>
      <c r="B409" s="62">
        <v>48</v>
      </c>
    </row>
    <row r="410" spans="1:2">
      <c r="A410" t="s">
        <v>3469</v>
      </c>
      <c r="B410" s="62">
        <v>674.25</v>
      </c>
    </row>
    <row r="411" spans="1:2">
      <c r="A411" t="s">
        <v>3470</v>
      </c>
      <c r="B411" s="62">
        <v>498.24</v>
      </c>
    </row>
    <row r="412" spans="1:2">
      <c r="A412" t="s">
        <v>3471</v>
      </c>
      <c r="B412" s="62">
        <v>656.77</v>
      </c>
    </row>
    <row r="413" spans="1:2">
      <c r="A413" t="s">
        <v>3472</v>
      </c>
      <c r="B413" s="62">
        <v>577.4</v>
      </c>
    </row>
    <row r="414" spans="1:2">
      <c r="A414" t="s">
        <v>3473</v>
      </c>
      <c r="B414" s="62">
        <v>3635.08</v>
      </c>
    </row>
    <row r="415" spans="1:2">
      <c r="A415" t="s">
        <v>3474</v>
      </c>
      <c r="B415" s="62">
        <v>317.92</v>
      </c>
    </row>
    <row r="416" spans="1:2">
      <c r="A416" t="s">
        <v>3475</v>
      </c>
      <c r="B416" s="62">
        <v>768</v>
      </c>
    </row>
    <row r="417" spans="1:2">
      <c r="A417" t="s">
        <v>3476</v>
      </c>
      <c r="B417" s="62">
        <v>623</v>
      </c>
    </row>
    <row r="418" spans="1:2">
      <c r="A418" t="s">
        <v>3477</v>
      </c>
      <c r="B418" s="62">
        <v>1032.96</v>
      </c>
    </row>
    <row r="419" spans="1:2">
      <c r="A419" t="s">
        <v>3478</v>
      </c>
      <c r="B419" s="62">
        <v>2665.92</v>
      </c>
    </row>
    <row r="420" spans="1:2">
      <c r="A420" t="s">
        <v>3479</v>
      </c>
      <c r="B420" s="62">
        <v>895.68</v>
      </c>
    </row>
    <row r="421" spans="1:2">
      <c r="A421" t="s">
        <v>3480</v>
      </c>
      <c r="B421" s="62">
        <v>4205.76</v>
      </c>
    </row>
    <row r="422" spans="1:2">
      <c r="A422" t="s">
        <v>3481</v>
      </c>
      <c r="B422" s="62">
        <v>280.07</v>
      </c>
    </row>
    <row r="423" spans="1:2">
      <c r="A423" t="s">
        <v>3482</v>
      </c>
      <c r="B423" s="62">
        <v>600</v>
      </c>
    </row>
    <row r="424" spans="1:2">
      <c r="A424" t="s">
        <v>3483</v>
      </c>
      <c r="B424" s="62">
        <v>14.4</v>
      </c>
    </row>
    <row r="425" spans="1:2">
      <c r="A425" t="s">
        <v>3484</v>
      </c>
      <c r="B425" s="62">
        <v>3.95</v>
      </c>
    </row>
    <row r="426" spans="1:2">
      <c r="A426" t="s">
        <v>3485</v>
      </c>
      <c r="B426" s="62">
        <v>2.5099999999999998</v>
      </c>
    </row>
    <row r="427" spans="1:2">
      <c r="A427" t="s">
        <v>3486</v>
      </c>
      <c r="B427" s="62">
        <v>4.8099999999999996</v>
      </c>
    </row>
    <row r="428" spans="1:2">
      <c r="A428" t="s">
        <v>3487</v>
      </c>
      <c r="B428" s="62">
        <v>1</v>
      </c>
    </row>
    <row r="429" spans="1:2">
      <c r="A429" t="s">
        <v>3488</v>
      </c>
      <c r="B429" s="62">
        <v>1</v>
      </c>
    </row>
    <row r="430" spans="1:2">
      <c r="A430" t="s">
        <v>3489</v>
      </c>
      <c r="B430" s="62">
        <v>1</v>
      </c>
    </row>
    <row r="431" spans="1:2">
      <c r="A431" t="s">
        <v>3490</v>
      </c>
      <c r="B431" s="62">
        <v>4.78</v>
      </c>
    </row>
    <row r="432" spans="1:2">
      <c r="A432" t="s">
        <v>3491</v>
      </c>
      <c r="B432" s="62">
        <v>17.71</v>
      </c>
    </row>
    <row r="433" spans="1:2">
      <c r="A433" t="s">
        <v>3492</v>
      </c>
      <c r="B433" s="62">
        <v>22.11</v>
      </c>
    </row>
    <row r="434" spans="1:2">
      <c r="A434" t="s">
        <v>3493</v>
      </c>
      <c r="B434" s="62">
        <v>12.85</v>
      </c>
    </row>
    <row r="435" spans="1:2">
      <c r="A435" t="s">
        <v>3494</v>
      </c>
      <c r="B435" s="62">
        <v>76.55</v>
      </c>
    </row>
    <row r="436" spans="1:2">
      <c r="A436" t="s">
        <v>3495</v>
      </c>
      <c r="B436" s="62">
        <v>2.35</v>
      </c>
    </row>
    <row r="437" spans="1:2">
      <c r="A437" t="s">
        <v>3496</v>
      </c>
      <c r="B437" s="62">
        <v>5.29</v>
      </c>
    </row>
    <row r="438" spans="1:2">
      <c r="A438" t="s">
        <v>3497</v>
      </c>
      <c r="B438" s="62">
        <v>210.87</v>
      </c>
    </row>
    <row r="439" spans="1:2">
      <c r="A439" t="s">
        <v>3498</v>
      </c>
      <c r="B439" s="62">
        <v>88.38</v>
      </c>
    </row>
    <row r="440" spans="1:2">
      <c r="A440" t="s">
        <v>3499</v>
      </c>
      <c r="B440" s="62">
        <v>45.9</v>
      </c>
    </row>
    <row r="441" spans="1:2">
      <c r="A441" t="s">
        <v>3500</v>
      </c>
      <c r="B441" s="62">
        <v>3.19</v>
      </c>
    </row>
    <row r="442" spans="1:2">
      <c r="A442" t="s">
        <v>3501</v>
      </c>
      <c r="B442" s="62">
        <v>397.15</v>
      </c>
    </row>
    <row r="443" spans="1:2">
      <c r="A443" t="s">
        <v>3502</v>
      </c>
      <c r="B443" s="62">
        <v>1.68</v>
      </c>
    </row>
    <row r="444" spans="1:2">
      <c r="A444" t="s">
        <v>3503</v>
      </c>
      <c r="B444" s="62">
        <v>25.9</v>
      </c>
    </row>
    <row r="445" spans="1:2">
      <c r="A445" t="s">
        <v>3504</v>
      </c>
      <c r="B445" s="62">
        <v>43.42</v>
      </c>
    </row>
    <row r="446" spans="1:2">
      <c r="A446" t="s">
        <v>3505</v>
      </c>
      <c r="B446" s="62">
        <v>2.17</v>
      </c>
    </row>
    <row r="447" spans="1:2">
      <c r="A447" t="s">
        <v>3506</v>
      </c>
      <c r="B447" s="62">
        <v>156</v>
      </c>
    </row>
    <row r="448" spans="1:2">
      <c r="A448" t="s">
        <v>3507</v>
      </c>
      <c r="B448" s="62">
        <v>110.55</v>
      </c>
    </row>
    <row r="449" spans="1:2">
      <c r="A449" t="s">
        <v>3508</v>
      </c>
      <c r="B449" s="62">
        <v>19.88</v>
      </c>
    </row>
    <row r="450" spans="1:2">
      <c r="A450" t="s">
        <v>3509</v>
      </c>
      <c r="B450" s="62">
        <v>6.46</v>
      </c>
    </row>
    <row r="451" spans="1:2">
      <c r="A451" t="s">
        <v>3510</v>
      </c>
      <c r="B451" s="62">
        <v>11.21</v>
      </c>
    </row>
    <row r="452" spans="1:2">
      <c r="A452" t="s">
        <v>3511</v>
      </c>
      <c r="B452" s="62">
        <v>30.25</v>
      </c>
    </row>
    <row r="453" spans="1:2">
      <c r="A453" t="s">
        <v>3512</v>
      </c>
      <c r="B453" s="62">
        <v>3.73</v>
      </c>
    </row>
    <row r="454" spans="1:2">
      <c r="A454" t="s">
        <v>3513</v>
      </c>
      <c r="B454" s="62">
        <v>3.73</v>
      </c>
    </row>
    <row r="455" spans="1:2">
      <c r="A455" t="s">
        <v>3514</v>
      </c>
      <c r="B455" s="62">
        <v>56.4</v>
      </c>
    </row>
    <row r="456" spans="1:2">
      <c r="A456" t="s">
        <v>3515</v>
      </c>
      <c r="B456" s="62">
        <v>7.19</v>
      </c>
    </row>
    <row r="457" spans="1:2">
      <c r="A457" t="s">
        <v>3516</v>
      </c>
      <c r="B457" s="62">
        <v>26.32</v>
      </c>
    </row>
    <row r="458" spans="1:2">
      <c r="A458" t="s">
        <v>3517</v>
      </c>
      <c r="B458" s="62">
        <v>33.78</v>
      </c>
    </row>
    <row r="459" spans="1:2">
      <c r="A459" t="s">
        <v>3518</v>
      </c>
      <c r="B459" s="62">
        <v>9.0500000000000007</v>
      </c>
    </row>
    <row r="460" spans="1:2">
      <c r="A460" t="s">
        <v>3519</v>
      </c>
      <c r="B460" s="62">
        <v>5.56</v>
      </c>
    </row>
    <row r="461" spans="1:2">
      <c r="A461" t="s">
        <v>3520</v>
      </c>
      <c r="B461" s="62">
        <v>193.34</v>
      </c>
    </row>
    <row r="462" spans="1:2">
      <c r="A462" t="s">
        <v>3521</v>
      </c>
      <c r="B462" s="62">
        <v>413.91</v>
      </c>
    </row>
    <row r="463" spans="1:2">
      <c r="A463" t="s">
        <v>3522</v>
      </c>
      <c r="B463" s="62">
        <v>120.04</v>
      </c>
    </row>
    <row r="464" spans="1:2">
      <c r="A464" t="s">
        <v>3523</v>
      </c>
      <c r="B464" s="62">
        <v>215.35</v>
      </c>
    </row>
    <row r="465" spans="1:2">
      <c r="A465" t="s">
        <v>3524</v>
      </c>
      <c r="B465" s="62">
        <v>15.65</v>
      </c>
    </row>
    <row r="466" spans="1:2">
      <c r="A466" t="s">
        <v>3525</v>
      </c>
      <c r="B466" s="62">
        <v>43.79</v>
      </c>
    </row>
    <row r="467" spans="1:2">
      <c r="A467" t="s">
        <v>3526</v>
      </c>
      <c r="B467" s="62">
        <v>14.38</v>
      </c>
    </row>
    <row r="468" spans="1:2">
      <c r="A468" t="s">
        <v>3527</v>
      </c>
      <c r="B468" s="62">
        <v>16.45</v>
      </c>
    </row>
    <row r="469" spans="1:2">
      <c r="A469" t="s">
        <v>3528</v>
      </c>
      <c r="B469" s="62">
        <v>12.62</v>
      </c>
    </row>
    <row r="470" spans="1:2">
      <c r="A470" t="s">
        <v>3529</v>
      </c>
      <c r="B470" s="62">
        <v>36.49</v>
      </c>
    </row>
    <row r="471" spans="1:2">
      <c r="A471" t="s">
        <v>3530</v>
      </c>
      <c r="B471" s="62">
        <v>263.76</v>
      </c>
    </row>
    <row r="472" spans="1:2">
      <c r="A472" t="s">
        <v>3531</v>
      </c>
      <c r="B472" s="62">
        <v>10.74</v>
      </c>
    </row>
    <row r="473" spans="1:2">
      <c r="A473" t="s">
        <v>3532</v>
      </c>
      <c r="B473" s="62">
        <v>140.97999999999999</v>
      </c>
    </row>
    <row r="474" spans="1:2">
      <c r="A474" t="s">
        <v>3533</v>
      </c>
      <c r="B474" s="62">
        <v>11.09</v>
      </c>
    </row>
    <row r="475" spans="1:2">
      <c r="A475" t="s">
        <v>3534</v>
      </c>
      <c r="B475" s="62">
        <v>334.01</v>
      </c>
    </row>
    <row r="476" spans="1:2">
      <c r="A476" t="s">
        <v>3535</v>
      </c>
      <c r="B476" s="62">
        <v>61.24</v>
      </c>
    </row>
    <row r="477" spans="1:2">
      <c r="A477" t="s">
        <v>3536</v>
      </c>
      <c r="B477" s="62">
        <v>56.33</v>
      </c>
    </row>
    <row r="478" spans="1:2">
      <c r="A478" t="s">
        <v>3537</v>
      </c>
      <c r="B478" s="62">
        <v>175.28</v>
      </c>
    </row>
    <row r="479" spans="1:2">
      <c r="A479" t="s">
        <v>3538</v>
      </c>
      <c r="B479" s="62">
        <v>4.7</v>
      </c>
    </row>
    <row r="480" spans="1:2">
      <c r="A480" t="s">
        <v>3539</v>
      </c>
      <c r="B480" s="62">
        <v>11.73</v>
      </c>
    </row>
    <row r="481" spans="1:2">
      <c r="A481" t="s">
        <v>3540</v>
      </c>
      <c r="B481" s="62">
        <v>16.66</v>
      </c>
    </row>
    <row r="482" spans="1:2">
      <c r="A482" t="s">
        <v>3541</v>
      </c>
      <c r="B482" s="62">
        <v>18.38</v>
      </c>
    </row>
    <row r="483" spans="1:2">
      <c r="A483" t="s">
        <v>3542</v>
      </c>
      <c r="B483" s="62">
        <v>8.33</v>
      </c>
    </row>
    <row r="484" spans="1:2">
      <c r="A484" t="s">
        <v>3543</v>
      </c>
      <c r="B484" s="62">
        <v>3.32</v>
      </c>
    </row>
    <row r="485" spans="1:2">
      <c r="A485" t="s">
        <v>3544</v>
      </c>
      <c r="B485" s="62">
        <v>20.45</v>
      </c>
    </row>
    <row r="486" spans="1:2">
      <c r="A486" t="s">
        <v>3545</v>
      </c>
      <c r="B486" s="62">
        <v>67.16</v>
      </c>
    </row>
    <row r="487" spans="1:2">
      <c r="A487" t="s">
        <v>3546</v>
      </c>
      <c r="B487" s="62">
        <v>67.16</v>
      </c>
    </row>
    <row r="488" spans="1:2">
      <c r="A488" t="s">
        <v>3547</v>
      </c>
      <c r="B488" s="62">
        <v>67.16</v>
      </c>
    </row>
    <row r="489" spans="1:2">
      <c r="A489" t="s">
        <v>3548</v>
      </c>
      <c r="B489" s="62">
        <v>8.68</v>
      </c>
    </row>
    <row r="490" spans="1:2">
      <c r="A490" t="s">
        <v>3549</v>
      </c>
      <c r="B490" s="62">
        <v>217.17</v>
      </c>
    </row>
    <row r="491" spans="1:2">
      <c r="A491" t="s">
        <v>3550</v>
      </c>
      <c r="B491" s="62">
        <v>22.93</v>
      </c>
    </row>
    <row r="492" spans="1:2">
      <c r="A492" t="s">
        <v>3551</v>
      </c>
      <c r="B492" s="62">
        <v>39.799999999999997</v>
      </c>
    </row>
    <row r="493" spans="1:2">
      <c r="A493" t="s">
        <v>3552</v>
      </c>
      <c r="B493" s="62">
        <v>25.76</v>
      </c>
    </row>
    <row r="494" spans="1:2">
      <c r="A494" t="s">
        <v>3553</v>
      </c>
      <c r="B494" s="62">
        <v>53.8</v>
      </c>
    </row>
    <row r="495" spans="1:2">
      <c r="A495" t="s">
        <v>3554</v>
      </c>
      <c r="B495" s="62">
        <v>34.28</v>
      </c>
    </row>
    <row r="496" spans="1:2">
      <c r="A496" t="s">
        <v>3555</v>
      </c>
      <c r="B496" s="62">
        <v>29.23</v>
      </c>
    </row>
    <row r="497" spans="1:2">
      <c r="A497" t="s">
        <v>3556</v>
      </c>
      <c r="B497" s="62">
        <v>111.3</v>
      </c>
    </row>
    <row r="498" spans="1:2">
      <c r="A498" t="s">
        <v>3557</v>
      </c>
      <c r="B498" s="62">
        <v>9.0399999999999991</v>
      </c>
    </row>
    <row r="499" spans="1:2">
      <c r="A499" t="s">
        <v>3558</v>
      </c>
      <c r="B499" s="62">
        <v>12.17</v>
      </c>
    </row>
    <row r="500" spans="1:2">
      <c r="A500" t="s">
        <v>3559</v>
      </c>
      <c r="B500" s="62">
        <v>4.05</v>
      </c>
    </row>
    <row r="501" spans="1:2">
      <c r="A501" t="s">
        <v>3560</v>
      </c>
      <c r="B501" s="62">
        <v>10.73</v>
      </c>
    </row>
    <row r="502" spans="1:2">
      <c r="A502" t="s">
        <v>3561</v>
      </c>
      <c r="B502" s="62">
        <v>12.05</v>
      </c>
    </row>
    <row r="503" spans="1:2">
      <c r="A503" t="s">
        <v>3562</v>
      </c>
      <c r="B503" s="62">
        <v>9.66</v>
      </c>
    </row>
    <row r="504" spans="1:2">
      <c r="A504" t="s">
        <v>3563</v>
      </c>
      <c r="B504" s="62">
        <v>26.83</v>
      </c>
    </row>
    <row r="505" spans="1:2">
      <c r="A505" t="s">
        <v>3564</v>
      </c>
      <c r="B505" s="62">
        <v>3.84</v>
      </c>
    </row>
    <row r="506" spans="1:2">
      <c r="A506" t="s">
        <v>3565</v>
      </c>
      <c r="B506" s="62">
        <v>44.5</v>
      </c>
    </row>
    <row r="507" spans="1:2">
      <c r="A507" t="s">
        <v>3566</v>
      </c>
      <c r="B507" s="62">
        <v>183.03</v>
      </c>
    </row>
    <row r="508" spans="1:2">
      <c r="A508" t="s">
        <v>3567</v>
      </c>
      <c r="B508" s="62">
        <v>45.12</v>
      </c>
    </row>
    <row r="509" spans="1:2">
      <c r="A509" t="s">
        <v>3568</v>
      </c>
      <c r="B509" s="62">
        <v>31.72</v>
      </c>
    </row>
    <row r="510" spans="1:2">
      <c r="A510" t="s">
        <v>3569</v>
      </c>
      <c r="B510" s="62">
        <v>15.05</v>
      </c>
    </row>
    <row r="511" spans="1:2">
      <c r="A511" t="s">
        <v>3570</v>
      </c>
      <c r="B511" s="62">
        <v>9.26</v>
      </c>
    </row>
    <row r="512" spans="1:2">
      <c r="A512" t="s">
        <v>3571</v>
      </c>
      <c r="B512" s="62">
        <v>21.22</v>
      </c>
    </row>
    <row r="513" spans="1:2">
      <c r="A513" t="s">
        <v>3572</v>
      </c>
      <c r="B513" s="62">
        <v>286.14</v>
      </c>
    </row>
    <row r="514" spans="1:2">
      <c r="A514" t="s">
        <v>3573</v>
      </c>
      <c r="B514" s="62">
        <v>156.83000000000001</v>
      </c>
    </row>
    <row r="515" spans="1:2">
      <c r="A515" t="s">
        <v>3574</v>
      </c>
      <c r="B515" s="62">
        <v>150.75</v>
      </c>
    </row>
    <row r="516" spans="1:2">
      <c r="A516" t="s">
        <v>3575</v>
      </c>
      <c r="B516" s="62">
        <v>156.83000000000001</v>
      </c>
    </row>
    <row r="517" spans="1:2">
      <c r="A517" t="s">
        <v>3576</v>
      </c>
      <c r="B517" s="62">
        <v>97.52</v>
      </c>
    </row>
    <row r="518" spans="1:2">
      <c r="A518" t="s">
        <v>3577</v>
      </c>
      <c r="B518" s="62">
        <v>385.19</v>
      </c>
    </row>
    <row r="519" spans="1:2">
      <c r="A519" t="s">
        <v>3578</v>
      </c>
      <c r="B519" s="62">
        <v>168</v>
      </c>
    </row>
    <row r="520" spans="1:2">
      <c r="A520" t="s">
        <v>3579</v>
      </c>
      <c r="B520" s="62">
        <v>78.11</v>
      </c>
    </row>
    <row r="521" spans="1:2">
      <c r="A521" t="s">
        <v>3580</v>
      </c>
      <c r="B521" s="62">
        <v>64.8</v>
      </c>
    </row>
    <row r="522" spans="1:2">
      <c r="A522" t="s">
        <v>3581</v>
      </c>
      <c r="B522" s="62">
        <v>64.8</v>
      </c>
    </row>
    <row r="523" spans="1:2">
      <c r="A523" t="s">
        <v>3582</v>
      </c>
      <c r="B523" s="62">
        <v>64.8</v>
      </c>
    </row>
    <row r="524" spans="1:2">
      <c r="A524" t="s">
        <v>3583</v>
      </c>
      <c r="B524" s="62">
        <v>98.59</v>
      </c>
    </row>
    <row r="525" spans="1:2">
      <c r="A525" t="s">
        <v>3584</v>
      </c>
      <c r="B525" s="62">
        <v>73.39</v>
      </c>
    </row>
    <row r="526" spans="1:2">
      <c r="A526" t="s">
        <v>3585</v>
      </c>
      <c r="B526" s="62">
        <v>116.23</v>
      </c>
    </row>
    <row r="527" spans="1:2">
      <c r="A527" t="s">
        <v>3586</v>
      </c>
      <c r="B527" s="62">
        <v>59.4</v>
      </c>
    </row>
    <row r="528" spans="1:2">
      <c r="A528" t="s">
        <v>3587</v>
      </c>
      <c r="B528" s="62">
        <v>102.15</v>
      </c>
    </row>
    <row r="529" spans="1:2">
      <c r="A529" t="s">
        <v>3588</v>
      </c>
      <c r="B529" s="62">
        <v>123.55</v>
      </c>
    </row>
    <row r="530" spans="1:2">
      <c r="A530" t="s">
        <v>3589</v>
      </c>
      <c r="B530" s="62">
        <v>49.92</v>
      </c>
    </row>
    <row r="531" spans="1:2">
      <c r="A531" t="s">
        <v>3590</v>
      </c>
      <c r="B531" s="62">
        <v>124.84</v>
      </c>
    </row>
    <row r="532" spans="1:2">
      <c r="A532" t="s">
        <v>3591</v>
      </c>
      <c r="B532" s="62">
        <v>59.9</v>
      </c>
    </row>
    <row r="533" spans="1:2">
      <c r="A533" t="s">
        <v>3592</v>
      </c>
      <c r="B533" s="62">
        <v>59.9</v>
      </c>
    </row>
    <row r="534" spans="1:2">
      <c r="A534" t="s">
        <v>3593</v>
      </c>
      <c r="B534" s="62">
        <v>84.41</v>
      </c>
    </row>
    <row r="535" spans="1:2">
      <c r="A535" t="s">
        <v>3594</v>
      </c>
      <c r="B535" s="62">
        <v>50.91</v>
      </c>
    </row>
    <row r="536" spans="1:2">
      <c r="A536" t="s">
        <v>3595</v>
      </c>
      <c r="B536" s="62">
        <v>26.96</v>
      </c>
    </row>
    <row r="537" spans="1:2">
      <c r="A537" t="s">
        <v>3596</v>
      </c>
      <c r="B537" s="62">
        <v>40.24</v>
      </c>
    </row>
    <row r="538" spans="1:2">
      <c r="A538" t="s">
        <v>3597</v>
      </c>
      <c r="B538" s="62">
        <v>25.77</v>
      </c>
    </row>
    <row r="539" spans="1:2">
      <c r="A539" t="s">
        <v>3598</v>
      </c>
      <c r="B539" s="62">
        <v>62.92</v>
      </c>
    </row>
    <row r="540" spans="1:2">
      <c r="A540" t="s">
        <v>3599</v>
      </c>
      <c r="B540" s="62">
        <v>77.12</v>
      </c>
    </row>
    <row r="541" spans="1:2">
      <c r="A541" t="s">
        <v>3600</v>
      </c>
      <c r="B541" s="62">
        <v>86.11</v>
      </c>
    </row>
    <row r="542" spans="1:2">
      <c r="A542" t="s">
        <v>3601</v>
      </c>
      <c r="B542" s="62">
        <v>52.54</v>
      </c>
    </row>
    <row r="543" spans="1:2">
      <c r="A543" t="s">
        <v>3602</v>
      </c>
      <c r="B543" s="62">
        <v>25.06</v>
      </c>
    </row>
    <row r="544" spans="1:2">
      <c r="A544" t="s">
        <v>3603</v>
      </c>
      <c r="B544" s="62">
        <v>56.16</v>
      </c>
    </row>
    <row r="545" spans="1:2">
      <c r="A545" t="s">
        <v>3604</v>
      </c>
      <c r="B545" s="62">
        <v>99.83</v>
      </c>
    </row>
    <row r="546" spans="1:2">
      <c r="A546" t="s">
        <v>3605</v>
      </c>
      <c r="B546" s="62">
        <v>136.55000000000001</v>
      </c>
    </row>
    <row r="547" spans="1:2">
      <c r="A547" t="s">
        <v>3606</v>
      </c>
      <c r="B547" s="62">
        <v>32.04</v>
      </c>
    </row>
    <row r="548" spans="1:2">
      <c r="A548" t="s">
        <v>3607</v>
      </c>
      <c r="B548" s="62">
        <v>703.86</v>
      </c>
    </row>
    <row r="549" spans="1:2">
      <c r="A549" t="s">
        <v>3608</v>
      </c>
      <c r="B549" s="62">
        <v>195.05</v>
      </c>
    </row>
    <row r="550" spans="1:2">
      <c r="A550" t="s">
        <v>3609</v>
      </c>
      <c r="B550" s="62">
        <v>28.44</v>
      </c>
    </row>
    <row r="551" spans="1:2">
      <c r="A551" t="s">
        <v>3610</v>
      </c>
      <c r="B551" s="62">
        <v>76.5</v>
      </c>
    </row>
    <row r="552" spans="1:2">
      <c r="A552" t="s">
        <v>3611</v>
      </c>
      <c r="B552" s="62">
        <v>99.84</v>
      </c>
    </row>
    <row r="553" spans="1:2">
      <c r="A553" t="s">
        <v>3612</v>
      </c>
      <c r="B553" s="62">
        <v>41.18</v>
      </c>
    </row>
    <row r="554" spans="1:2">
      <c r="A554" t="s">
        <v>3613</v>
      </c>
      <c r="B554" s="62">
        <v>127.3</v>
      </c>
    </row>
    <row r="555" spans="1:2">
      <c r="A555" t="s">
        <v>3614</v>
      </c>
      <c r="B555" s="62">
        <v>86.87</v>
      </c>
    </row>
    <row r="556" spans="1:2">
      <c r="A556" t="s">
        <v>3615</v>
      </c>
      <c r="B556" s="62">
        <v>64.8</v>
      </c>
    </row>
    <row r="557" spans="1:2">
      <c r="A557" t="s">
        <v>3616</v>
      </c>
      <c r="B557" s="62">
        <v>54.76</v>
      </c>
    </row>
    <row r="558" spans="1:2">
      <c r="A558" t="s">
        <v>3617</v>
      </c>
      <c r="B558" s="62">
        <v>220.9</v>
      </c>
    </row>
    <row r="559" spans="1:2">
      <c r="A559" t="s">
        <v>3618</v>
      </c>
      <c r="B559" s="62">
        <v>206.51</v>
      </c>
    </row>
    <row r="560" spans="1:2">
      <c r="A560" t="s">
        <v>3619</v>
      </c>
      <c r="B560" s="62">
        <v>87.35</v>
      </c>
    </row>
    <row r="561" spans="1:2">
      <c r="A561" t="s">
        <v>3620</v>
      </c>
      <c r="B561" s="62">
        <v>151.03</v>
      </c>
    </row>
    <row r="562" spans="1:2">
      <c r="A562" t="s">
        <v>3621</v>
      </c>
      <c r="B562" s="62">
        <v>100.64</v>
      </c>
    </row>
    <row r="563" spans="1:2">
      <c r="A563" t="s">
        <v>3622</v>
      </c>
      <c r="B563" s="62">
        <v>127.37</v>
      </c>
    </row>
    <row r="564" spans="1:2">
      <c r="A564" t="s">
        <v>3623</v>
      </c>
      <c r="B564" s="62">
        <v>218.46</v>
      </c>
    </row>
    <row r="565" spans="1:2">
      <c r="A565" t="s">
        <v>3624</v>
      </c>
      <c r="B565" s="62">
        <v>53.14</v>
      </c>
    </row>
    <row r="566" spans="1:2">
      <c r="A566" t="s">
        <v>3625</v>
      </c>
      <c r="B566" s="62">
        <v>73.260000000000005</v>
      </c>
    </row>
    <row r="567" spans="1:2">
      <c r="A567" t="s">
        <v>3626</v>
      </c>
      <c r="B567" s="62">
        <v>217.5</v>
      </c>
    </row>
    <row r="568" spans="1:2">
      <c r="A568" t="s">
        <v>3627</v>
      </c>
      <c r="B568" s="62">
        <v>71.95</v>
      </c>
    </row>
    <row r="569" spans="1:2">
      <c r="A569" t="s">
        <v>3628</v>
      </c>
      <c r="B569" s="62">
        <v>77.8</v>
      </c>
    </row>
    <row r="570" spans="1:2">
      <c r="A570" t="s">
        <v>3629</v>
      </c>
      <c r="B570" s="62">
        <v>66.92</v>
      </c>
    </row>
    <row r="571" spans="1:2">
      <c r="A571" t="s">
        <v>3630</v>
      </c>
      <c r="B571" s="62">
        <v>52.58</v>
      </c>
    </row>
    <row r="572" spans="1:2">
      <c r="A572" t="s">
        <v>3631</v>
      </c>
      <c r="B572" s="62">
        <v>54.67</v>
      </c>
    </row>
    <row r="573" spans="1:2">
      <c r="A573" t="s">
        <v>3632</v>
      </c>
      <c r="B573" s="62">
        <v>99.84</v>
      </c>
    </row>
    <row r="574" spans="1:2">
      <c r="A574" t="s">
        <v>3633</v>
      </c>
      <c r="B574" s="62">
        <v>1352.02</v>
      </c>
    </row>
    <row r="575" spans="1:2">
      <c r="A575" t="s">
        <v>3634</v>
      </c>
      <c r="B575" s="62">
        <v>29.51</v>
      </c>
    </row>
    <row r="576" spans="1:2">
      <c r="A576" t="s">
        <v>3635</v>
      </c>
      <c r="B576" s="62">
        <v>94.57</v>
      </c>
    </row>
    <row r="577" spans="1:2">
      <c r="A577" t="s">
        <v>3636</v>
      </c>
      <c r="B577" s="62">
        <v>53.04</v>
      </c>
    </row>
    <row r="578" spans="1:2">
      <c r="A578" t="s">
        <v>3637</v>
      </c>
      <c r="B578" s="62">
        <v>33.08</v>
      </c>
    </row>
    <row r="579" spans="1:2">
      <c r="A579" t="s">
        <v>3638</v>
      </c>
      <c r="B579" s="62">
        <v>93.6</v>
      </c>
    </row>
    <row r="580" spans="1:2">
      <c r="A580" t="s">
        <v>3639</v>
      </c>
      <c r="B580" s="62">
        <v>190.94</v>
      </c>
    </row>
    <row r="581" spans="1:2">
      <c r="A581" t="s">
        <v>3640</v>
      </c>
      <c r="B581" s="62">
        <v>74.88</v>
      </c>
    </row>
    <row r="582" spans="1:2">
      <c r="A582" t="s">
        <v>3641</v>
      </c>
      <c r="B582" s="62">
        <v>83.46</v>
      </c>
    </row>
    <row r="583" spans="1:2">
      <c r="A583" t="s">
        <v>3642</v>
      </c>
      <c r="B583" s="62">
        <v>28.6</v>
      </c>
    </row>
    <row r="584" spans="1:2">
      <c r="A584" t="s">
        <v>3643</v>
      </c>
      <c r="B584" s="62">
        <v>65.06</v>
      </c>
    </row>
    <row r="585" spans="1:2">
      <c r="A585" t="s">
        <v>3644</v>
      </c>
      <c r="B585" s="62">
        <v>18.27</v>
      </c>
    </row>
    <row r="586" spans="1:2">
      <c r="A586" t="s">
        <v>3645</v>
      </c>
      <c r="B586" s="62">
        <v>291.7</v>
      </c>
    </row>
    <row r="587" spans="1:2">
      <c r="A587" t="s">
        <v>3646</v>
      </c>
      <c r="B587" s="62">
        <v>1256.68</v>
      </c>
    </row>
    <row r="588" spans="1:2">
      <c r="A588" t="s">
        <v>3647</v>
      </c>
      <c r="B588" s="62">
        <v>83.21</v>
      </c>
    </row>
    <row r="589" spans="1:2">
      <c r="A589" t="s">
        <v>3648</v>
      </c>
      <c r="B589" s="62">
        <v>1241</v>
      </c>
    </row>
    <row r="590" spans="1:2">
      <c r="A590" t="s">
        <v>3649</v>
      </c>
      <c r="B590" s="62">
        <v>118.56</v>
      </c>
    </row>
    <row r="591" spans="1:2">
      <c r="A591" t="s">
        <v>3650</v>
      </c>
      <c r="B591" s="62">
        <v>108.03</v>
      </c>
    </row>
    <row r="592" spans="1:2">
      <c r="A592" t="s">
        <v>3651</v>
      </c>
      <c r="B592" s="62">
        <v>145.16</v>
      </c>
    </row>
    <row r="593" spans="1:2">
      <c r="A593" t="s">
        <v>3652</v>
      </c>
      <c r="B593" s="62">
        <v>103.28</v>
      </c>
    </row>
    <row r="594" spans="1:2">
      <c r="A594" t="s">
        <v>3653</v>
      </c>
      <c r="B594" s="62">
        <v>66.62</v>
      </c>
    </row>
    <row r="595" spans="1:2">
      <c r="A595" t="s">
        <v>3654</v>
      </c>
      <c r="B595" s="62">
        <v>89.86</v>
      </c>
    </row>
    <row r="596" spans="1:2">
      <c r="A596" t="s">
        <v>3655</v>
      </c>
      <c r="B596" s="62">
        <v>243.84</v>
      </c>
    </row>
    <row r="597" spans="1:2">
      <c r="A597" t="s">
        <v>3656</v>
      </c>
      <c r="B597" s="62">
        <v>33.06</v>
      </c>
    </row>
    <row r="598" spans="1:2">
      <c r="A598" t="s">
        <v>3657</v>
      </c>
      <c r="B598" s="62">
        <v>40.47</v>
      </c>
    </row>
    <row r="599" spans="1:2">
      <c r="A599" t="s">
        <v>3658</v>
      </c>
      <c r="B599" s="62">
        <v>32.58</v>
      </c>
    </row>
    <row r="600" spans="1:2">
      <c r="A600" t="s">
        <v>3659</v>
      </c>
      <c r="B600" s="62">
        <v>40.04</v>
      </c>
    </row>
    <row r="601" spans="1:2">
      <c r="A601" t="s">
        <v>3660</v>
      </c>
      <c r="B601" s="62">
        <v>25.52</v>
      </c>
    </row>
    <row r="602" spans="1:2">
      <c r="A602" t="s">
        <v>3661</v>
      </c>
      <c r="B602" s="62">
        <v>56.78</v>
      </c>
    </row>
    <row r="603" spans="1:2">
      <c r="A603" t="s">
        <v>3662</v>
      </c>
      <c r="B603" s="62">
        <v>61.76</v>
      </c>
    </row>
    <row r="604" spans="1:2">
      <c r="A604" t="s">
        <v>3663</v>
      </c>
      <c r="B604" s="62">
        <v>24.55</v>
      </c>
    </row>
    <row r="605" spans="1:2">
      <c r="A605" t="s">
        <v>3664</v>
      </c>
      <c r="B605" s="62">
        <v>27.28</v>
      </c>
    </row>
    <row r="606" spans="1:2">
      <c r="A606" t="s">
        <v>3665</v>
      </c>
      <c r="B606" s="62">
        <v>21</v>
      </c>
    </row>
    <row r="607" spans="1:2">
      <c r="A607" t="s">
        <v>3666</v>
      </c>
      <c r="B607" s="62">
        <v>21.6</v>
      </c>
    </row>
    <row r="608" spans="1:2">
      <c r="A608" t="s">
        <v>3667</v>
      </c>
      <c r="B608" s="62">
        <v>127.85</v>
      </c>
    </row>
    <row r="609" spans="1:2">
      <c r="A609" t="s">
        <v>3668</v>
      </c>
      <c r="B609" s="62">
        <v>1535.36</v>
      </c>
    </row>
    <row r="610" spans="1:2">
      <c r="A610" t="s">
        <v>3669</v>
      </c>
      <c r="B610" s="62">
        <v>1859.86</v>
      </c>
    </row>
    <row r="611" spans="1:2">
      <c r="A611" t="s">
        <v>3670</v>
      </c>
      <c r="B611" s="62">
        <v>2115.66</v>
      </c>
    </row>
    <row r="612" spans="1:2">
      <c r="A612" t="s">
        <v>3671</v>
      </c>
      <c r="B612" s="62">
        <v>168.47</v>
      </c>
    </row>
    <row r="613" spans="1:2">
      <c r="A613" t="s">
        <v>3672</v>
      </c>
      <c r="B613" s="62">
        <v>171.82</v>
      </c>
    </row>
    <row r="614" spans="1:2">
      <c r="A614" t="s">
        <v>3673</v>
      </c>
      <c r="B614" s="62">
        <v>277.02</v>
      </c>
    </row>
    <row r="615" spans="1:2">
      <c r="A615" t="s">
        <v>3674</v>
      </c>
      <c r="B615" s="62">
        <v>63.76</v>
      </c>
    </row>
    <row r="616" spans="1:2">
      <c r="A616" t="s">
        <v>3675</v>
      </c>
      <c r="B616" s="62">
        <v>55.1</v>
      </c>
    </row>
    <row r="617" spans="1:2">
      <c r="A617" t="s">
        <v>3676</v>
      </c>
      <c r="B617" s="62">
        <v>186.01</v>
      </c>
    </row>
    <row r="618" spans="1:2">
      <c r="A618" t="s">
        <v>3677</v>
      </c>
      <c r="B618" s="62">
        <v>189.11</v>
      </c>
    </row>
    <row r="619" spans="1:2">
      <c r="A619" t="s">
        <v>3678</v>
      </c>
      <c r="B619" s="62">
        <v>273.58999999999997</v>
      </c>
    </row>
    <row r="620" spans="1:2">
      <c r="A620" t="s">
        <v>3679</v>
      </c>
      <c r="B620" s="62">
        <v>91.76</v>
      </c>
    </row>
    <row r="621" spans="1:2">
      <c r="A621" t="s">
        <v>3680</v>
      </c>
      <c r="B621" s="62">
        <v>184.88</v>
      </c>
    </row>
    <row r="622" spans="1:2">
      <c r="A622" t="s">
        <v>3681</v>
      </c>
      <c r="B622" s="62">
        <v>99.83</v>
      </c>
    </row>
    <row r="623" spans="1:2">
      <c r="A623" t="s">
        <v>3682</v>
      </c>
      <c r="B623" s="62">
        <v>109.24</v>
      </c>
    </row>
    <row r="624" spans="1:2">
      <c r="A624" t="s">
        <v>3683</v>
      </c>
      <c r="B624" s="62">
        <v>131.04</v>
      </c>
    </row>
    <row r="625" spans="1:2">
      <c r="A625" t="s">
        <v>3684</v>
      </c>
      <c r="B625" s="62">
        <v>225.18</v>
      </c>
    </row>
    <row r="626" spans="1:2">
      <c r="A626" t="s">
        <v>3685</v>
      </c>
      <c r="B626" s="62">
        <v>225.18</v>
      </c>
    </row>
    <row r="627" spans="1:2">
      <c r="A627" t="s">
        <v>3686</v>
      </c>
      <c r="B627" s="62">
        <v>58.66</v>
      </c>
    </row>
    <row r="628" spans="1:2">
      <c r="A628" t="s">
        <v>3687</v>
      </c>
      <c r="B628" s="62">
        <v>90.04</v>
      </c>
    </row>
    <row r="629" spans="1:2">
      <c r="A629" t="s">
        <v>3688</v>
      </c>
      <c r="B629" s="62">
        <v>476.16</v>
      </c>
    </row>
    <row r="630" spans="1:2">
      <c r="A630" t="s">
        <v>3689</v>
      </c>
      <c r="B630" s="62">
        <v>84.71</v>
      </c>
    </row>
    <row r="631" spans="1:2">
      <c r="A631" t="s">
        <v>3690</v>
      </c>
      <c r="B631" s="62">
        <v>226.71</v>
      </c>
    </row>
    <row r="632" spans="1:2">
      <c r="A632" t="s">
        <v>3691</v>
      </c>
      <c r="B632" s="62">
        <v>22.78</v>
      </c>
    </row>
    <row r="633" spans="1:2">
      <c r="A633" t="s">
        <v>3692</v>
      </c>
      <c r="B633" s="62">
        <v>8</v>
      </c>
    </row>
    <row r="634" spans="1:2">
      <c r="A634" t="s">
        <v>3693</v>
      </c>
      <c r="B634" s="62">
        <v>48.43</v>
      </c>
    </row>
    <row r="635" spans="1:2">
      <c r="A635" t="s">
        <v>3694</v>
      </c>
      <c r="B635" s="62">
        <v>79.72</v>
      </c>
    </row>
    <row r="636" spans="1:2">
      <c r="A636" t="s">
        <v>3695</v>
      </c>
      <c r="B636" s="62">
        <v>58.42</v>
      </c>
    </row>
    <row r="637" spans="1:2">
      <c r="A637" t="s">
        <v>3696</v>
      </c>
      <c r="B637" s="62">
        <v>36.29</v>
      </c>
    </row>
    <row r="638" spans="1:2">
      <c r="A638" t="s">
        <v>3697</v>
      </c>
      <c r="B638" s="62">
        <v>33.78</v>
      </c>
    </row>
    <row r="639" spans="1:2">
      <c r="A639" t="s">
        <v>3698</v>
      </c>
      <c r="B639" s="62">
        <v>67.78</v>
      </c>
    </row>
    <row r="640" spans="1:2">
      <c r="A640" t="s">
        <v>3699</v>
      </c>
      <c r="B640" s="62">
        <v>206.14</v>
      </c>
    </row>
    <row r="641" spans="1:2">
      <c r="A641" t="s">
        <v>3700</v>
      </c>
      <c r="B641" s="62">
        <v>72.290000000000006</v>
      </c>
    </row>
    <row r="642" spans="1:2">
      <c r="A642" t="s">
        <v>3701</v>
      </c>
      <c r="B642" s="62">
        <v>152.56</v>
      </c>
    </row>
    <row r="643" spans="1:2">
      <c r="A643" t="s">
        <v>3702</v>
      </c>
      <c r="B643" s="62">
        <v>196.97</v>
      </c>
    </row>
    <row r="644" spans="1:2">
      <c r="A644" t="s">
        <v>3703</v>
      </c>
      <c r="B644" s="62">
        <v>262.07</v>
      </c>
    </row>
    <row r="645" spans="1:2">
      <c r="A645" t="s">
        <v>3704</v>
      </c>
      <c r="B645" s="62">
        <v>186.11</v>
      </c>
    </row>
    <row r="646" spans="1:2">
      <c r="A646" t="s">
        <v>3705</v>
      </c>
      <c r="B646" s="62">
        <v>228.27</v>
      </c>
    </row>
    <row r="647" spans="1:2">
      <c r="A647" t="s">
        <v>3706</v>
      </c>
      <c r="B647" s="62">
        <v>34.520000000000003</v>
      </c>
    </row>
    <row r="648" spans="1:2">
      <c r="A648" t="s">
        <v>3707</v>
      </c>
      <c r="B648" s="62">
        <v>38.200000000000003</v>
      </c>
    </row>
    <row r="649" spans="1:2">
      <c r="A649" t="s">
        <v>3708</v>
      </c>
      <c r="B649" s="62">
        <v>38.200000000000003</v>
      </c>
    </row>
    <row r="650" spans="1:2">
      <c r="A650" t="s">
        <v>3709</v>
      </c>
      <c r="B650" s="62">
        <v>34.520000000000003</v>
      </c>
    </row>
    <row r="651" spans="1:2">
      <c r="A651" t="s">
        <v>3710</v>
      </c>
      <c r="B651" s="62">
        <v>0</v>
      </c>
    </row>
    <row r="652" spans="1:2">
      <c r="A652" t="s">
        <v>3711</v>
      </c>
      <c r="B652" s="62">
        <v>0</v>
      </c>
    </row>
    <row r="653" spans="1:2">
      <c r="A653" t="s">
        <v>3712</v>
      </c>
      <c r="B653" s="62">
        <v>0</v>
      </c>
    </row>
    <row r="654" spans="1:2">
      <c r="A654" t="s">
        <v>3713</v>
      </c>
      <c r="B654" s="62">
        <v>162.34</v>
      </c>
    </row>
    <row r="655" spans="1:2">
      <c r="A655" t="s">
        <v>3714</v>
      </c>
      <c r="B655" s="62">
        <v>4.1399999999999997</v>
      </c>
    </row>
    <row r="656" spans="1:2">
      <c r="A656" t="s">
        <v>3715</v>
      </c>
      <c r="B656" s="62">
        <v>0</v>
      </c>
    </row>
    <row r="657" spans="1:2">
      <c r="A657" t="s">
        <v>3716</v>
      </c>
      <c r="B657" s="62">
        <v>0.54</v>
      </c>
    </row>
    <row r="658" spans="1:2">
      <c r="A658" t="s">
        <v>3717</v>
      </c>
      <c r="B658" s="62">
        <v>11.26</v>
      </c>
    </row>
    <row r="659" spans="1:2">
      <c r="A659" t="s">
        <v>3718</v>
      </c>
      <c r="B659" s="62">
        <v>24.84</v>
      </c>
    </row>
    <row r="660" spans="1:2">
      <c r="A660" t="s">
        <v>3719</v>
      </c>
      <c r="B660" s="62">
        <v>37.979999999999997</v>
      </c>
    </row>
    <row r="661" spans="1:2">
      <c r="A661" t="s">
        <v>3720</v>
      </c>
      <c r="B661" s="62">
        <v>0</v>
      </c>
    </row>
    <row r="662" spans="1:2">
      <c r="A662" t="s">
        <v>3721</v>
      </c>
      <c r="B662" s="62">
        <v>525.61</v>
      </c>
    </row>
    <row r="663" spans="1:2">
      <c r="A663" t="s">
        <v>3722</v>
      </c>
      <c r="B663" s="62">
        <v>80.14</v>
      </c>
    </row>
    <row r="664" spans="1:2">
      <c r="A664" t="s">
        <v>3723</v>
      </c>
      <c r="B664" s="62">
        <v>33.08</v>
      </c>
    </row>
    <row r="665" spans="1:2">
      <c r="A665" t="s">
        <v>3724</v>
      </c>
      <c r="B665" s="62">
        <v>0</v>
      </c>
    </row>
    <row r="666" spans="1:2">
      <c r="A666" t="s">
        <v>3725</v>
      </c>
      <c r="B666" s="62">
        <v>0</v>
      </c>
    </row>
    <row r="667" spans="1:2">
      <c r="A667" t="s">
        <v>3726</v>
      </c>
      <c r="B667" s="62">
        <v>69.64</v>
      </c>
    </row>
    <row r="668" spans="1:2">
      <c r="A668" t="s">
        <v>3727</v>
      </c>
      <c r="B668" s="62">
        <v>83</v>
      </c>
    </row>
    <row r="669" spans="1:2">
      <c r="A669" t="s">
        <v>3728</v>
      </c>
      <c r="B669" s="62">
        <v>225.32</v>
      </c>
    </row>
    <row r="670" spans="1:2">
      <c r="A670" t="s">
        <v>3729</v>
      </c>
      <c r="B670" s="62">
        <v>25.98</v>
      </c>
    </row>
    <row r="671" spans="1:2">
      <c r="A671" t="s">
        <v>3730</v>
      </c>
      <c r="B671" s="62">
        <v>1043.95</v>
      </c>
    </row>
    <row r="672" spans="1:2">
      <c r="A672" t="s">
        <v>3731</v>
      </c>
      <c r="B672" s="62">
        <v>39.94</v>
      </c>
    </row>
    <row r="673" spans="1:2">
      <c r="A673" t="s">
        <v>3732</v>
      </c>
      <c r="B673" s="62">
        <v>20.6</v>
      </c>
    </row>
    <row r="674" spans="1:2">
      <c r="A674" t="s">
        <v>3733</v>
      </c>
      <c r="B674" s="62">
        <v>25.44</v>
      </c>
    </row>
    <row r="675" spans="1:2">
      <c r="A675" t="s">
        <v>3734</v>
      </c>
      <c r="B675" s="62">
        <v>16.86</v>
      </c>
    </row>
    <row r="676" spans="1:2">
      <c r="A676" t="s">
        <v>3735</v>
      </c>
      <c r="B676" s="62">
        <v>57.28</v>
      </c>
    </row>
    <row r="677" spans="1:2">
      <c r="A677" t="s">
        <v>3736</v>
      </c>
      <c r="B677" s="62">
        <v>33.04</v>
      </c>
    </row>
    <row r="678" spans="1:2">
      <c r="A678" t="s">
        <v>3737</v>
      </c>
      <c r="B678" s="62">
        <v>71.72</v>
      </c>
    </row>
    <row r="679" spans="1:2">
      <c r="A679" t="s">
        <v>3738</v>
      </c>
      <c r="B679" s="62">
        <v>6.75</v>
      </c>
    </row>
    <row r="680" spans="1:2">
      <c r="A680" t="s">
        <v>3739</v>
      </c>
      <c r="B680" s="62">
        <v>3.97</v>
      </c>
    </row>
    <row r="681" spans="1:2">
      <c r="A681" t="s">
        <v>3740</v>
      </c>
      <c r="B681" s="62">
        <v>715.32</v>
      </c>
    </row>
    <row r="682" spans="1:2">
      <c r="A682" t="s">
        <v>3741</v>
      </c>
      <c r="B682" s="62">
        <v>715.32</v>
      </c>
    </row>
    <row r="683" spans="1:2">
      <c r="A683" t="s">
        <v>3742</v>
      </c>
      <c r="B683" s="62">
        <v>340.97</v>
      </c>
    </row>
    <row r="684" spans="1:2">
      <c r="A684" t="s">
        <v>3743</v>
      </c>
      <c r="B684" s="62">
        <v>234.25</v>
      </c>
    </row>
    <row r="685" spans="1:2">
      <c r="A685" t="s">
        <v>3744</v>
      </c>
      <c r="B685" s="62">
        <v>989.52</v>
      </c>
    </row>
    <row r="686" spans="1:2">
      <c r="A686" t="s">
        <v>3745</v>
      </c>
      <c r="B686" s="62">
        <v>195</v>
      </c>
    </row>
    <row r="687" spans="1:2">
      <c r="A687" t="s">
        <v>3746</v>
      </c>
      <c r="B687" s="62">
        <v>78.37</v>
      </c>
    </row>
    <row r="688" spans="1:2">
      <c r="A688" t="s">
        <v>3747</v>
      </c>
      <c r="B688" s="62">
        <v>1425.69</v>
      </c>
    </row>
    <row r="689" spans="1:2">
      <c r="A689" t="s">
        <v>3748</v>
      </c>
      <c r="B689" s="62">
        <v>103.48</v>
      </c>
    </row>
    <row r="690" spans="1:2">
      <c r="A690" t="s">
        <v>3749</v>
      </c>
      <c r="B690" s="62">
        <v>523.79999999999995</v>
      </c>
    </row>
    <row r="691" spans="1:2">
      <c r="A691" t="s">
        <v>3750</v>
      </c>
      <c r="B691" s="62">
        <v>592.08000000000004</v>
      </c>
    </row>
    <row r="692" spans="1:2">
      <c r="A692" t="s">
        <v>3751</v>
      </c>
      <c r="B692" s="62">
        <v>37.75</v>
      </c>
    </row>
    <row r="693" spans="1:2">
      <c r="A693" t="s">
        <v>3752</v>
      </c>
      <c r="B693" s="62">
        <v>230.56</v>
      </c>
    </row>
    <row r="694" spans="1:2">
      <c r="A694" t="s">
        <v>3753</v>
      </c>
      <c r="B694" s="62">
        <v>17.05</v>
      </c>
    </row>
    <row r="695" spans="1:2">
      <c r="A695" t="s">
        <v>3754</v>
      </c>
      <c r="B695" s="62">
        <v>9.85</v>
      </c>
    </row>
    <row r="696" spans="1:2">
      <c r="A696" t="s">
        <v>3755</v>
      </c>
      <c r="B696" s="62">
        <v>56.03</v>
      </c>
    </row>
    <row r="697" spans="1:2">
      <c r="A697" t="s">
        <v>3756</v>
      </c>
      <c r="B697" s="62">
        <v>53.1</v>
      </c>
    </row>
    <row r="698" spans="1:2">
      <c r="A698" t="s">
        <v>3757</v>
      </c>
      <c r="B698" s="62">
        <v>4.09</v>
      </c>
    </row>
    <row r="699" spans="1:2">
      <c r="A699" t="s">
        <v>3758</v>
      </c>
      <c r="B699" s="62">
        <v>265</v>
      </c>
    </row>
    <row r="700" spans="1:2">
      <c r="A700" t="s">
        <v>3759</v>
      </c>
      <c r="B700" s="62">
        <v>83.95</v>
      </c>
    </row>
    <row r="701" spans="1:2">
      <c r="A701" t="s">
        <v>3760</v>
      </c>
      <c r="B701" s="62">
        <v>537.58000000000004</v>
      </c>
    </row>
    <row r="702" spans="1:2">
      <c r="A702" t="s">
        <v>3761</v>
      </c>
      <c r="B702" s="62">
        <v>31.52</v>
      </c>
    </row>
    <row r="703" spans="1:2">
      <c r="A703" t="s">
        <v>3762</v>
      </c>
      <c r="B703" s="62">
        <v>16.510000000000002</v>
      </c>
    </row>
    <row r="704" spans="1:2">
      <c r="A704" t="s">
        <v>3763</v>
      </c>
      <c r="B704" s="62">
        <v>54.37</v>
      </c>
    </row>
    <row r="705" spans="1:2">
      <c r="A705" t="s">
        <v>3764</v>
      </c>
      <c r="B705" s="62">
        <v>51.37</v>
      </c>
    </row>
    <row r="706" spans="1:2">
      <c r="A706" t="s">
        <v>3765</v>
      </c>
      <c r="B706" s="62">
        <v>42.37</v>
      </c>
    </row>
    <row r="707" spans="1:2">
      <c r="A707" t="s">
        <v>3766</v>
      </c>
      <c r="B707" s="62">
        <v>72.430000000000007</v>
      </c>
    </row>
    <row r="708" spans="1:2">
      <c r="A708" t="s">
        <v>3767</v>
      </c>
      <c r="B708" s="62">
        <v>530.79999999999995</v>
      </c>
    </row>
    <row r="709" spans="1:2">
      <c r="A709" t="s">
        <v>3768</v>
      </c>
      <c r="B709" s="62">
        <v>263.61</v>
      </c>
    </row>
    <row r="710" spans="1:2">
      <c r="A710" t="s">
        <v>3769</v>
      </c>
      <c r="B710" s="62">
        <v>74.58</v>
      </c>
    </row>
    <row r="711" spans="1:2">
      <c r="A711" t="s">
        <v>3770</v>
      </c>
      <c r="B711" s="62">
        <v>539.79999999999995</v>
      </c>
    </row>
    <row r="712" spans="1:2">
      <c r="A712" t="s">
        <v>3771</v>
      </c>
      <c r="B712" s="62">
        <v>3.88</v>
      </c>
    </row>
    <row r="713" spans="1:2">
      <c r="A713" t="s">
        <v>3772</v>
      </c>
      <c r="B713" s="62">
        <v>1246.26</v>
      </c>
    </row>
    <row r="714" spans="1:2">
      <c r="A714" t="s">
        <v>3773</v>
      </c>
      <c r="B714" s="62">
        <v>1378.14</v>
      </c>
    </row>
    <row r="715" spans="1:2">
      <c r="A715" t="s">
        <v>3774</v>
      </c>
      <c r="B715" s="62">
        <v>308.5</v>
      </c>
    </row>
    <row r="716" spans="1:2">
      <c r="A716" t="s">
        <v>3775</v>
      </c>
      <c r="B716" s="62">
        <v>133.29</v>
      </c>
    </row>
    <row r="717" spans="1:2">
      <c r="A717" t="s">
        <v>3776</v>
      </c>
      <c r="B717" s="62">
        <v>522.14</v>
      </c>
    </row>
    <row r="718" spans="1:2">
      <c r="A718" t="s">
        <v>3777</v>
      </c>
      <c r="B718" s="62">
        <v>50.49</v>
      </c>
    </row>
    <row r="719" spans="1:2">
      <c r="A719" t="s">
        <v>3778</v>
      </c>
      <c r="B719" s="62">
        <v>52</v>
      </c>
    </row>
    <row r="720" spans="1:2">
      <c r="A720" t="s">
        <v>3779</v>
      </c>
      <c r="B720" s="62">
        <v>244.27</v>
      </c>
    </row>
    <row r="721" spans="1:2">
      <c r="A721" t="s">
        <v>3780</v>
      </c>
      <c r="B721" s="62">
        <v>124.27</v>
      </c>
    </row>
    <row r="722" spans="1:2">
      <c r="A722" t="s">
        <v>3781</v>
      </c>
      <c r="B722" s="62">
        <v>51.84</v>
      </c>
    </row>
    <row r="723" spans="1:2">
      <c r="A723" t="s">
        <v>3782</v>
      </c>
      <c r="B723" s="62">
        <v>376.66</v>
      </c>
    </row>
    <row r="724" spans="1:2">
      <c r="A724" t="s">
        <v>3783</v>
      </c>
      <c r="B724" s="62">
        <v>406.05</v>
      </c>
    </row>
    <row r="725" spans="1:2">
      <c r="A725" t="s">
        <v>3784</v>
      </c>
      <c r="B725" s="62">
        <v>385.35</v>
      </c>
    </row>
    <row r="726" spans="1:2">
      <c r="A726" t="s">
        <v>3785</v>
      </c>
      <c r="B726" s="62">
        <v>58</v>
      </c>
    </row>
    <row r="727" spans="1:2">
      <c r="A727" t="s">
        <v>3786</v>
      </c>
      <c r="B727" s="62">
        <v>41.78</v>
      </c>
    </row>
    <row r="728" spans="1:2">
      <c r="A728" t="s">
        <v>3787</v>
      </c>
      <c r="B728" s="62">
        <v>118.8</v>
      </c>
    </row>
    <row r="729" spans="1:2">
      <c r="A729" t="s">
        <v>3788</v>
      </c>
      <c r="B729" s="62">
        <v>90.98</v>
      </c>
    </row>
    <row r="730" spans="1:2">
      <c r="A730" t="s">
        <v>3789</v>
      </c>
      <c r="B730" s="62">
        <v>91.73</v>
      </c>
    </row>
    <row r="731" spans="1:2">
      <c r="A731" t="s">
        <v>3790</v>
      </c>
      <c r="B731" s="62">
        <v>78.34</v>
      </c>
    </row>
    <row r="732" spans="1:2">
      <c r="A732" t="s">
        <v>3791</v>
      </c>
      <c r="B732" s="62">
        <v>25.52</v>
      </c>
    </row>
    <row r="733" spans="1:2">
      <c r="A733" t="s">
        <v>3792</v>
      </c>
      <c r="B733" s="62">
        <v>1420.22</v>
      </c>
    </row>
    <row r="734" spans="1:2">
      <c r="A734" t="s">
        <v>3793</v>
      </c>
      <c r="B734" s="62">
        <v>60</v>
      </c>
    </row>
    <row r="735" spans="1:2">
      <c r="A735" t="s">
        <v>3794</v>
      </c>
      <c r="B735" s="62">
        <v>28.93</v>
      </c>
    </row>
    <row r="736" spans="1:2">
      <c r="A736" t="s">
        <v>3795</v>
      </c>
      <c r="B736" s="62">
        <v>26.85</v>
      </c>
    </row>
    <row r="737" spans="1:2">
      <c r="A737" t="s">
        <v>3796</v>
      </c>
      <c r="B737" s="62">
        <v>37.049999999999997</v>
      </c>
    </row>
    <row r="738" spans="1:2">
      <c r="A738" t="s">
        <v>3797</v>
      </c>
      <c r="B738" s="62">
        <v>369.79</v>
      </c>
    </row>
    <row r="739" spans="1:2">
      <c r="A739" t="s">
        <v>3798</v>
      </c>
      <c r="B739" s="62">
        <v>118.09</v>
      </c>
    </row>
    <row r="740" spans="1:2">
      <c r="A740" t="s">
        <v>3799</v>
      </c>
      <c r="B740" s="62">
        <v>7.56</v>
      </c>
    </row>
    <row r="741" spans="1:2">
      <c r="A741" t="s">
        <v>3800</v>
      </c>
      <c r="B741" s="62">
        <v>13.15</v>
      </c>
    </row>
    <row r="742" spans="1:2">
      <c r="A742" t="s">
        <v>3801</v>
      </c>
      <c r="B742" s="62">
        <v>18.100000000000001</v>
      </c>
    </row>
    <row r="743" spans="1:2">
      <c r="A743" t="s">
        <v>3802</v>
      </c>
      <c r="B743" s="62">
        <v>106.01</v>
      </c>
    </row>
    <row r="744" spans="1:2">
      <c r="A744" t="s">
        <v>3803</v>
      </c>
      <c r="B744" s="62">
        <v>339.93</v>
      </c>
    </row>
    <row r="745" spans="1:2">
      <c r="A745" t="s">
        <v>3804</v>
      </c>
      <c r="B745" s="62">
        <v>669.42</v>
      </c>
    </row>
    <row r="746" spans="1:2">
      <c r="A746" t="s">
        <v>3805</v>
      </c>
      <c r="B746" s="62">
        <v>1027.3499999999999</v>
      </c>
    </row>
    <row r="747" spans="1:2">
      <c r="A747" t="s">
        <v>3806</v>
      </c>
      <c r="B747" s="62">
        <v>46.73</v>
      </c>
    </row>
    <row r="748" spans="1:2">
      <c r="A748" t="s">
        <v>3807</v>
      </c>
      <c r="B748" s="62">
        <v>41.95</v>
      </c>
    </row>
    <row r="749" spans="1:2">
      <c r="A749" t="s">
        <v>3808</v>
      </c>
      <c r="B749" s="62">
        <v>646.12</v>
      </c>
    </row>
    <row r="750" spans="1:2">
      <c r="A750" t="s">
        <v>3809</v>
      </c>
      <c r="B750" s="62">
        <v>215.51</v>
      </c>
    </row>
    <row r="751" spans="1:2">
      <c r="A751" t="s">
        <v>3810</v>
      </c>
      <c r="B751" s="62">
        <v>129.66999999999999</v>
      </c>
    </row>
    <row r="752" spans="1:2">
      <c r="A752" t="s">
        <v>3811</v>
      </c>
      <c r="B752" s="62">
        <v>232.28</v>
      </c>
    </row>
    <row r="753" spans="1:2">
      <c r="A753" t="s">
        <v>3812</v>
      </c>
      <c r="B753" s="62">
        <v>206.29</v>
      </c>
    </row>
    <row r="754" spans="1:2">
      <c r="A754" t="s">
        <v>3813</v>
      </c>
      <c r="B754" s="62">
        <v>0.71</v>
      </c>
    </row>
    <row r="755" spans="1:2">
      <c r="A755" t="s">
        <v>3814</v>
      </c>
      <c r="B755" s="62">
        <v>106.48</v>
      </c>
    </row>
    <row r="756" spans="1:2">
      <c r="A756" t="s">
        <v>3815</v>
      </c>
      <c r="B756" s="62">
        <v>20.92</v>
      </c>
    </row>
    <row r="757" spans="1:2">
      <c r="A757" t="s">
        <v>3816</v>
      </c>
      <c r="B757" s="62">
        <v>474.2</v>
      </c>
    </row>
    <row r="758" spans="1:2">
      <c r="A758" t="s">
        <v>3817</v>
      </c>
      <c r="B758" s="62">
        <v>147.93</v>
      </c>
    </row>
    <row r="759" spans="1:2">
      <c r="A759" t="s">
        <v>3818</v>
      </c>
      <c r="B759" s="62">
        <v>35.28</v>
      </c>
    </row>
    <row r="760" spans="1:2">
      <c r="A760" t="s">
        <v>3819</v>
      </c>
      <c r="B760" s="62">
        <v>606.84</v>
      </c>
    </row>
    <row r="761" spans="1:2">
      <c r="A761" t="s">
        <v>3820</v>
      </c>
      <c r="B761" s="62">
        <v>603.19000000000005</v>
      </c>
    </row>
    <row r="762" spans="1:2">
      <c r="A762" t="s">
        <v>3821</v>
      </c>
      <c r="B762" s="62">
        <v>975.04</v>
      </c>
    </row>
    <row r="763" spans="1:2">
      <c r="A763" t="s">
        <v>3822</v>
      </c>
      <c r="B763" s="62">
        <v>891.94</v>
      </c>
    </row>
    <row r="764" spans="1:2">
      <c r="A764" t="s">
        <v>3823</v>
      </c>
      <c r="B764" s="62">
        <v>46.83</v>
      </c>
    </row>
    <row r="765" spans="1:2">
      <c r="A765" t="s">
        <v>3824</v>
      </c>
      <c r="B765" s="62">
        <v>60.86</v>
      </c>
    </row>
    <row r="766" spans="1:2">
      <c r="A766" t="s">
        <v>3825</v>
      </c>
      <c r="B766" s="62">
        <v>166.16</v>
      </c>
    </row>
    <row r="767" spans="1:2">
      <c r="A767" t="s">
        <v>3826</v>
      </c>
      <c r="B767" s="62">
        <v>1006.6</v>
      </c>
    </row>
    <row r="768" spans="1:2">
      <c r="A768" t="s">
        <v>3827</v>
      </c>
      <c r="B768" s="62">
        <v>1380.06</v>
      </c>
    </row>
    <row r="769" spans="1:2">
      <c r="A769" t="s">
        <v>3828</v>
      </c>
      <c r="B769" s="62">
        <v>877.1</v>
      </c>
    </row>
    <row r="770" spans="1:2">
      <c r="A770" t="s">
        <v>3829</v>
      </c>
      <c r="B770" s="62">
        <v>18.8</v>
      </c>
    </row>
    <row r="771" spans="1:2">
      <c r="A771" t="s">
        <v>3830</v>
      </c>
      <c r="B771" s="62">
        <v>20</v>
      </c>
    </row>
    <row r="772" spans="1:2">
      <c r="A772" t="s">
        <v>3831</v>
      </c>
      <c r="B772" s="62">
        <v>206.29</v>
      </c>
    </row>
    <row r="773" spans="1:2">
      <c r="A773" t="s">
        <v>3832</v>
      </c>
      <c r="B773" s="62">
        <v>25.94</v>
      </c>
    </row>
    <row r="774" spans="1:2">
      <c r="A774" t="s">
        <v>3833</v>
      </c>
      <c r="B774" s="62">
        <v>51.37</v>
      </c>
    </row>
    <row r="775" spans="1:2">
      <c r="A775" t="s">
        <v>3834</v>
      </c>
      <c r="B775" s="62">
        <v>319.12</v>
      </c>
    </row>
    <row r="776" spans="1:2">
      <c r="A776" t="s">
        <v>3835</v>
      </c>
      <c r="B776" s="62">
        <v>1113.53</v>
      </c>
    </row>
    <row r="777" spans="1:2">
      <c r="A777" t="s">
        <v>3836</v>
      </c>
      <c r="B777" s="62">
        <v>477.15</v>
      </c>
    </row>
    <row r="778" spans="1:2">
      <c r="A778" t="s">
        <v>3837</v>
      </c>
      <c r="B778" s="62">
        <v>93.25</v>
      </c>
    </row>
    <row r="779" spans="1:2">
      <c r="A779" t="s">
        <v>3838</v>
      </c>
      <c r="B779" s="62">
        <v>127.46</v>
      </c>
    </row>
    <row r="780" spans="1:2">
      <c r="A780" t="s">
        <v>3839</v>
      </c>
      <c r="B780" s="62">
        <v>631.88</v>
      </c>
    </row>
    <row r="781" spans="1:2">
      <c r="A781" t="s">
        <v>3840</v>
      </c>
      <c r="B781" s="62">
        <v>96.07</v>
      </c>
    </row>
    <row r="782" spans="1:2">
      <c r="A782" t="s">
        <v>3841</v>
      </c>
      <c r="B782" s="62">
        <v>329.44</v>
      </c>
    </row>
    <row r="783" spans="1:2">
      <c r="A783" t="s">
        <v>3842</v>
      </c>
      <c r="B783" s="62">
        <v>4.78</v>
      </c>
    </row>
    <row r="784" spans="1:2">
      <c r="A784" t="s">
        <v>3843</v>
      </c>
      <c r="B784" s="62">
        <v>19.98</v>
      </c>
    </row>
    <row r="785" spans="1:2">
      <c r="A785" t="s">
        <v>3844</v>
      </c>
      <c r="B785" s="62">
        <v>19.98</v>
      </c>
    </row>
    <row r="786" spans="1:2">
      <c r="A786" t="s">
        <v>3845</v>
      </c>
      <c r="B786" s="62">
        <v>13.86</v>
      </c>
    </row>
    <row r="787" spans="1:2">
      <c r="A787" t="s">
        <v>3846</v>
      </c>
      <c r="B787" s="62">
        <v>41.63</v>
      </c>
    </row>
    <row r="788" spans="1:2">
      <c r="A788" t="s">
        <v>3847</v>
      </c>
      <c r="B788" s="62">
        <v>30.19</v>
      </c>
    </row>
    <row r="789" spans="1:2">
      <c r="A789" t="s">
        <v>3848</v>
      </c>
      <c r="B789" s="62">
        <v>30.19</v>
      </c>
    </row>
    <row r="790" spans="1:2">
      <c r="A790" t="s">
        <v>3849</v>
      </c>
      <c r="B790" s="62">
        <v>43.66</v>
      </c>
    </row>
    <row r="791" spans="1:2">
      <c r="A791" t="s">
        <v>3850</v>
      </c>
      <c r="B791" s="62">
        <v>3.78</v>
      </c>
    </row>
    <row r="792" spans="1:2">
      <c r="A792" t="s">
        <v>3851</v>
      </c>
      <c r="B792" s="62">
        <v>9.41</v>
      </c>
    </row>
    <row r="793" spans="1:2">
      <c r="A793" t="s">
        <v>3852</v>
      </c>
      <c r="B793" s="62">
        <v>42.61</v>
      </c>
    </row>
    <row r="794" spans="1:2">
      <c r="A794" t="s">
        <v>3853</v>
      </c>
      <c r="B794" s="62">
        <v>47.93</v>
      </c>
    </row>
    <row r="795" spans="1:2">
      <c r="A795" t="s">
        <v>3854</v>
      </c>
      <c r="B795" s="62">
        <v>5.5</v>
      </c>
    </row>
    <row r="796" spans="1:2">
      <c r="A796" t="s">
        <v>3855</v>
      </c>
      <c r="B796" s="62">
        <v>14.14</v>
      </c>
    </row>
    <row r="797" spans="1:2">
      <c r="A797" t="s">
        <v>3856</v>
      </c>
      <c r="B797" s="62">
        <v>20.16</v>
      </c>
    </row>
    <row r="798" spans="1:2">
      <c r="A798" t="s">
        <v>3857</v>
      </c>
      <c r="B798" s="62">
        <v>80.819999999999993</v>
      </c>
    </row>
    <row r="799" spans="1:2">
      <c r="A799" t="s">
        <v>3858</v>
      </c>
      <c r="B799" s="62">
        <v>50.06</v>
      </c>
    </row>
    <row r="800" spans="1:2">
      <c r="A800" t="s">
        <v>3859</v>
      </c>
      <c r="B800" s="62">
        <v>24.1</v>
      </c>
    </row>
    <row r="801" spans="1:2">
      <c r="A801" t="s">
        <v>3860</v>
      </c>
      <c r="B801" s="62">
        <v>4.3</v>
      </c>
    </row>
    <row r="802" spans="1:2">
      <c r="A802" t="s">
        <v>3861</v>
      </c>
      <c r="B802" s="62">
        <v>233.36</v>
      </c>
    </row>
    <row r="803" spans="1:2">
      <c r="A803" t="s">
        <v>3862</v>
      </c>
      <c r="B803" s="62">
        <v>18.940000000000001</v>
      </c>
    </row>
    <row r="804" spans="1:2">
      <c r="A804" t="s">
        <v>3863</v>
      </c>
      <c r="B804" s="62">
        <v>18.170000000000002</v>
      </c>
    </row>
    <row r="805" spans="1:2">
      <c r="A805" t="s">
        <v>3864</v>
      </c>
      <c r="B805" s="62">
        <v>43.07</v>
      </c>
    </row>
    <row r="806" spans="1:2">
      <c r="A806" t="s">
        <v>3865</v>
      </c>
      <c r="B806" s="62">
        <v>43.07</v>
      </c>
    </row>
    <row r="807" spans="1:2">
      <c r="A807" t="s">
        <v>3866</v>
      </c>
      <c r="B807" s="62">
        <v>19.190000000000001</v>
      </c>
    </row>
    <row r="808" spans="1:2">
      <c r="A808" t="s">
        <v>3867</v>
      </c>
      <c r="B808" s="62">
        <v>19.190000000000001</v>
      </c>
    </row>
    <row r="809" spans="1:2">
      <c r="A809" t="s">
        <v>3868</v>
      </c>
      <c r="B809" s="62">
        <v>22.51</v>
      </c>
    </row>
    <row r="810" spans="1:2">
      <c r="A810" t="s">
        <v>3869</v>
      </c>
      <c r="B810" s="62">
        <v>22.51</v>
      </c>
    </row>
    <row r="811" spans="1:2">
      <c r="A811" t="s">
        <v>3870</v>
      </c>
      <c r="B811" s="62">
        <v>3.61</v>
      </c>
    </row>
    <row r="812" spans="1:2">
      <c r="A812" t="s">
        <v>3871</v>
      </c>
      <c r="B812" s="62">
        <v>8.7100000000000009</v>
      </c>
    </row>
    <row r="813" spans="1:2">
      <c r="A813" t="s">
        <v>3872</v>
      </c>
      <c r="B813" s="62">
        <v>25.37</v>
      </c>
    </row>
    <row r="814" spans="1:2">
      <c r="A814" t="s">
        <v>3873</v>
      </c>
      <c r="B814" s="62">
        <v>24.67</v>
      </c>
    </row>
    <row r="815" spans="1:2">
      <c r="A815" t="s">
        <v>3874</v>
      </c>
      <c r="B815" s="62">
        <v>26.6</v>
      </c>
    </row>
    <row r="816" spans="1:2">
      <c r="A816" t="s">
        <v>3875</v>
      </c>
      <c r="B816" s="62">
        <v>63.7</v>
      </c>
    </row>
    <row r="817" spans="1:2">
      <c r="A817" t="s">
        <v>3876</v>
      </c>
      <c r="B817" s="62">
        <v>19.82</v>
      </c>
    </row>
    <row r="818" spans="1:2">
      <c r="A818" t="s">
        <v>3877</v>
      </c>
      <c r="B818" s="62">
        <v>40.200000000000003</v>
      </c>
    </row>
    <row r="819" spans="1:2">
      <c r="A819" t="s">
        <v>3878</v>
      </c>
      <c r="B819" s="62">
        <v>59.62</v>
      </c>
    </row>
    <row r="820" spans="1:2">
      <c r="A820" t="s">
        <v>3879</v>
      </c>
      <c r="B820" s="62">
        <v>8.64</v>
      </c>
    </row>
    <row r="821" spans="1:2">
      <c r="A821" t="s">
        <v>3880</v>
      </c>
      <c r="B821" s="62">
        <v>34.57</v>
      </c>
    </row>
    <row r="822" spans="1:2">
      <c r="A822" t="s">
        <v>3881</v>
      </c>
      <c r="B822" s="62">
        <v>47.2</v>
      </c>
    </row>
    <row r="823" spans="1:2">
      <c r="A823" t="s">
        <v>3882</v>
      </c>
      <c r="B823" s="62">
        <v>104.66</v>
      </c>
    </row>
    <row r="824" spans="1:2">
      <c r="A824" t="s">
        <v>3883</v>
      </c>
      <c r="B824" s="62">
        <v>92.46</v>
      </c>
    </row>
    <row r="825" spans="1:2">
      <c r="A825" t="s">
        <v>3884</v>
      </c>
      <c r="B825" s="62">
        <v>80.400000000000006</v>
      </c>
    </row>
    <row r="826" spans="1:2">
      <c r="A826" t="s">
        <v>3885</v>
      </c>
      <c r="B826" s="62">
        <v>47.44</v>
      </c>
    </row>
    <row r="827" spans="1:2">
      <c r="A827" t="s">
        <v>3886</v>
      </c>
      <c r="B827" s="62">
        <v>37.86</v>
      </c>
    </row>
    <row r="828" spans="1:2">
      <c r="A828" t="s">
        <v>3887</v>
      </c>
      <c r="B828" s="62">
        <v>102.26</v>
      </c>
    </row>
    <row r="829" spans="1:2">
      <c r="A829" t="s">
        <v>3888</v>
      </c>
      <c r="B829" s="62">
        <v>290.55</v>
      </c>
    </row>
    <row r="830" spans="1:2">
      <c r="A830" t="s">
        <v>3889</v>
      </c>
      <c r="B830" s="62">
        <v>158.24</v>
      </c>
    </row>
    <row r="831" spans="1:2">
      <c r="A831" t="s">
        <v>3890</v>
      </c>
      <c r="B831" s="62">
        <v>125.54</v>
      </c>
    </row>
    <row r="832" spans="1:2">
      <c r="A832" t="s">
        <v>3891</v>
      </c>
      <c r="B832" s="62">
        <v>29.95</v>
      </c>
    </row>
    <row r="833" spans="1:2">
      <c r="A833" t="s">
        <v>3892</v>
      </c>
      <c r="B833" s="62">
        <v>91.29</v>
      </c>
    </row>
    <row r="834" spans="1:2">
      <c r="A834" t="s">
        <v>3893</v>
      </c>
      <c r="B834" s="62">
        <v>45.02</v>
      </c>
    </row>
    <row r="835" spans="1:2">
      <c r="A835" t="s">
        <v>3894</v>
      </c>
      <c r="B835" s="62">
        <v>45.02</v>
      </c>
    </row>
    <row r="836" spans="1:2">
      <c r="A836" t="s">
        <v>3895</v>
      </c>
      <c r="B836" s="62">
        <v>64.319999999999993</v>
      </c>
    </row>
    <row r="837" spans="1:2">
      <c r="A837" t="s">
        <v>3896</v>
      </c>
      <c r="B837" s="62">
        <v>72.94</v>
      </c>
    </row>
    <row r="838" spans="1:2">
      <c r="A838" t="s">
        <v>3897</v>
      </c>
      <c r="B838" s="62">
        <v>45.02</v>
      </c>
    </row>
    <row r="839" spans="1:2">
      <c r="A839" t="s">
        <v>3898</v>
      </c>
      <c r="B839" s="62">
        <v>10.83</v>
      </c>
    </row>
    <row r="840" spans="1:2">
      <c r="A840" t="s">
        <v>3899</v>
      </c>
      <c r="B840" s="62">
        <v>31.03</v>
      </c>
    </row>
    <row r="841" spans="1:2">
      <c r="A841" t="s">
        <v>3900</v>
      </c>
      <c r="B841" s="62">
        <v>42.36</v>
      </c>
    </row>
    <row r="842" spans="1:2">
      <c r="A842" t="s">
        <v>3901</v>
      </c>
      <c r="B842" s="62">
        <v>408.73</v>
      </c>
    </row>
    <row r="843" spans="1:2">
      <c r="A843" t="s">
        <v>3902</v>
      </c>
      <c r="B843" s="62">
        <v>148</v>
      </c>
    </row>
    <row r="844" spans="1:2">
      <c r="A844" t="s">
        <v>3903</v>
      </c>
      <c r="B844" s="62">
        <v>60</v>
      </c>
    </row>
    <row r="845" spans="1:2">
      <c r="A845" t="s">
        <v>3904</v>
      </c>
      <c r="B845" s="62">
        <v>88.88</v>
      </c>
    </row>
    <row r="846" spans="1:2">
      <c r="A846" t="s">
        <v>3905</v>
      </c>
      <c r="B846" s="62">
        <v>221.72</v>
      </c>
    </row>
    <row r="847" spans="1:2">
      <c r="A847" t="s">
        <v>3906</v>
      </c>
      <c r="B847" s="62">
        <v>214.13</v>
      </c>
    </row>
    <row r="848" spans="1:2">
      <c r="A848" t="s">
        <v>3907</v>
      </c>
      <c r="B848" s="62">
        <v>900.48</v>
      </c>
    </row>
    <row r="849" spans="1:2">
      <c r="A849" t="s">
        <v>3908</v>
      </c>
      <c r="B849" s="62">
        <v>730.41</v>
      </c>
    </row>
    <row r="850" spans="1:2">
      <c r="A850" t="s">
        <v>3909</v>
      </c>
      <c r="B850" s="62">
        <v>1025</v>
      </c>
    </row>
    <row r="851" spans="1:2">
      <c r="A851" t="s">
        <v>3910</v>
      </c>
      <c r="B851" s="62">
        <v>1009.7</v>
      </c>
    </row>
    <row r="852" spans="1:2">
      <c r="A852" t="s">
        <v>3911</v>
      </c>
      <c r="B852" s="62">
        <v>80.099999999999994</v>
      </c>
    </row>
    <row r="853" spans="1:2">
      <c r="A853" t="s">
        <v>3912</v>
      </c>
      <c r="B853" s="62">
        <v>1255.77</v>
      </c>
    </row>
    <row r="854" spans="1:2">
      <c r="A854" t="s">
        <v>3913</v>
      </c>
      <c r="B854" s="62">
        <v>86.07</v>
      </c>
    </row>
    <row r="855" spans="1:2">
      <c r="A855" t="s">
        <v>3914</v>
      </c>
      <c r="B855" s="62">
        <v>103.3</v>
      </c>
    </row>
    <row r="856" spans="1:2">
      <c r="A856" t="s">
        <v>3915</v>
      </c>
      <c r="B856" s="62">
        <v>172.8</v>
      </c>
    </row>
    <row r="857" spans="1:2">
      <c r="A857" t="s">
        <v>3916</v>
      </c>
      <c r="B857" s="62">
        <v>76.42</v>
      </c>
    </row>
    <row r="858" spans="1:2">
      <c r="A858" t="s">
        <v>3917</v>
      </c>
      <c r="B858" s="62">
        <v>40.369999999999997</v>
      </c>
    </row>
    <row r="859" spans="1:2">
      <c r="A859" t="s">
        <v>3918</v>
      </c>
      <c r="B859" s="62">
        <v>409.81</v>
      </c>
    </row>
    <row r="860" spans="1:2">
      <c r="A860" t="s">
        <v>3919</v>
      </c>
      <c r="B860" s="62">
        <v>82.74</v>
      </c>
    </row>
    <row r="861" spans="1:2">
      <c r="A861" t="s">
        <v>3920</v>
      </c>
      <c r="B861" s="62">
        <v>34.700000000000003</v>
      </c>
    </row>
    <row r="862" spans="1:2">
      <c r="A862" t="s">
        <v>3921</v>
      </c>
      <c r="B862" s="62">
        <v>20.010000000000002</v>
      </c>
    </row>
    <row r="863" spans="1:2">
      <c r="A863" t="s">
        <v>3922</v>
      </c>
      <c r="B863" s="62">
        <v>51</v>
      </c>
    </row>
    <row r="864" spans="1:2">
      <c r="A864" t="s">
        <v>3923</v>
      </c>
      <c r="B864" s="62">
        <v>73.67</v>
      </c>
    </row>
    <row r="865" spans="1:2">
      <c r="A865" t="s">
        <v>3924</v>
      </c>
      <c r="B865" s="62">
        <v>245.53</v>
      </c>
    </row>
    <row r="866" spans="1:2">
      <c r="A866" t="s">
        <v>3925</v>
      </c>
      <c r="B866" s="62">
        <v>267.16000000000003</v>
      </c>
    </row>
    <row r="867" spans="1:2">
      <c r="A867" t="s">
        <v>3926</v>
      </c>
      <c r="B867" s="62">
        <v>267.16000000000003</v>
      </c>
    </row>
    <row r="868" spans="1:2">
      <c r="A868" t="s">
        <v>3927</v>
      </c>
      <c r="B868" s="62">
        <v>266.17</v>
      </c>
    </row>
    <row r="869" spans="1:2">
      <c r="A869" t="s">
        <v>3928</v>
      </c>
      <c r="B869" s="62">
        <v>71.760000000000005</v>
      </c>
    </row>
    <row r="870" spans="1:2">
      <c r="A870" t="s">
        <v>3929</v>
      </c>
      <c r="B870" s="62">
        <v>273.82</v>
      </c>
    </row>
    <row r="871" spans="1:2">
      <c r="A871" t="s">
        <v>3930</v>
      </c>
      <c r="B871" s="62">
        <v>169.38</v>
      </c>
    </row>
    <row r="872" spans="1:2">
      <c r="A872" t="s">
        <v>3931</v>
      </c>
      <c r="B872" s="62">
        <v>71.8</v>
      </c>
    </row>
    <row r="873" spans="1:2">
      <c r="A873" t="s">
        <v>3932</v>
      </c>
      <c r="B873" s="62">
        <v>12.15</v>
      </c>
    </row>
    <row r="874" spans="1:2">
      <c r="A874" t="s">
        <v>3933</v>
      </c>
      <c r="B874" s="62">
        <v>59.33</v>
      </c>
    </row>
    <row r="875" spans="1:2">
      <c r="A875" t="s">
        <v>3934</v>
      </c>
      <c r="B875" s="62">
        <v>24.55</v>
      </c>
    </row>
    <row r="876" spans="1:2">
      <c r="A876" t="s">
        <v>3935</v>
      </c>
      <c r="B876" s="62">
        <v>182.7</v>
      </c>
    </row>
    <row r="877" spans="1:2">
      <c r="A877" t="s">
        <v>3936</v>
      </c>
      <c r="B877" s="62">
        <v>9.4499999999999993</v>
      </c>
    </row>
    <row r="878" spans="1:2">
      <c r="A878" t="s">
        <v>3937</v>
      </c>
      <c r="B878" s="62">
        <v>64.17</v>
      </c>
    </row>
    <row r="879" spans="1:2">
      <c r="A879" t="s">
        <v>3938</v>
      </c>
      <c r="B879" s="62">
        <v>64.17</v>
      </c>
    </row>
    <row r="880" spans="1:2">
      <c r="A880" t="s">
        <v>3938</v>
      </c>
      <c r="B880" s="62">
        <v>194.86</v>
      </c>
    </row>
    <row r="881" spans="1:2">
      <c r="A881" t="s">
        <v>3939</v>
      </c>
      <c r="B881" s="62">
        <v>1.21</v>
      </c>
    </row>
    <row r="882" spans="1:2">
      <c r="A882" t="s">
        <v>3940</v>
      </c>
      <c r="B882" s="62">
        <v>25.79</v>
      </c>
    </row>
    <row r="883" spans="1:2">
      <c r="A883" t="s">
        <v>3941</v>
      </c>
      <c r="B883" s="62">
        <v>25.79</v>
      </c>
    </row>
    <row r="884" spans="1:2">
      <c r="A884" t="s">
        <v>3942</v>
      </c>
      <c r="B884" s="62">
        <v>8.36</v>
      </c>
    </row>
    <row r="885" spans="1:2">
      <c r="A885" t="s">
        <v>3943</v>
      </c>
      <c r="B885" s="62">
        <v>5.4</v>
      </c>
    </row>
    <row r="886" spans="1:2">
      <c r="A886" t="s">
        <v>3944</v>
      </c>
      <c r="B886" s="62">
        <v>5.84</v>
      </c>
    </row>
    <row r="887" spans="1:2">
      <c r="A887" t="s">
        <v>3945</v>
      </c>
      <c r="B887" s="62">
        <v>35.22</v>
      </c>
    </row>
    <row r="888" spans="1:2">
      <c r="A888" t="s">
        <v>3946</v>
      </c>
      <c r="B888" s="62">
        <v>49.78</v>
      </c>
    </row>
    <row r="889" spans="1:2">
      <c r="A889" t="s">
        <v>3947</v>
      </c>
      <c r="B889" s="62">
        <v>41.94</v>
      </c>
    </row>
    <row r="890" spans="1:2">
      <c r="A890" t="s">
        <v>3948</v>
      </c>
      <c r="B890" s="62">
        <v>16.7</v>
      </c>
    </row>
    <row r="891" spans="1:2">
      <c r="A891" t="s">
        <v>3949</v>
      </c>
      <c r="B891" s="62">
        <v>13.32</v>
      </c>
    </row>
    <row r="892" spans="1:2">
      <c r="A892" t="s">
        <v>3950</v>
      </c>
      <c r="B892" s="62">
        <v>16.510000000000002</v>
      </c>
    </row>
    <row r="893" spans="1:2">
      <c r="A893" t="s">
        <v>3951</v>
      </c>
      <c r="B893" s="62">
        <v>113.2</v>
      </c>
    </row>
    <row r="894" spans="1:2">
      <c r="A894" t="s">
        <v>3952</v>
      </c>
      <c r="B894" s="62">
        <v>108.41</v>
      </c>
    </row>
    <row r="895" spans="1:2">
      <c r="A895" t="s">
        <v>3953</v>
      </c>
      <c r="B895" s="62">
        <v>793.98</v>
      </c>
    </row>
    <row r="896" spans="1:2">
      <c r="A896" t="s">
        <v>3954</v>
      </c>
      <c r="B896" s="62">
        <v>349.47</v>
      </c>
    </row>
    <row r="897" spans="1:2">
      <c r="A897" t="s">
        <v>3955</v>
      </c>
      <c r="B897" s="62">
        <v>38.92</v>
      </c>
    </row>
    <row r="898" spans="1:2">
      <c r="A898" t="s">
        <v>3956</v>
      </c>
      <c r="B898" s="62">
        <v>126.25</v>
      </c>
    </row>
    <row r="899" spans="1:2">
      <c r="A899" t="s">
        <v>3957</v>
      </c>
      <c r="B899" s="62">
        <v>158.4</v>
      </c>
    </row>
    <row r="900" spans="1:2">
      <c r="A900" t="s">
        <v>3958</v>
      </c>
      <c r="B900" s="62">
        <v>177.6</v>
      </c>
    </row>
    <row r="901" spans="1:2">
      <c r="A901" t="s">
        <v>3959</v>
      </c>
      <c r="B901" s="62">
        <v>1103.6300000000001</v>
      </c>
    </row>
    <row r="902" spans="1:2">
      <c r="A902" t="s">
        <v>3960</v>
      </c>
      <c r="B902" s="62">
        <v>1608.64</v>
      </c>
    </row>
    <row r="903" spans="1:2">
      <c r="A903" t="s">
        <v>3961</v>
      </c>
      <c r="B903" s="62">
        <v>447.36</v>
      </c>
    </row>
    <row r="904" spans="1:2">
      <c r="A904" t="s">
        <v>3962</v>
      </c>
      <c r="B904" s="62">
        <v>1279</v>
      </c>
    </row>
    <row r="905" spans="1:2">
      <c r="A905" t="s">
        <v>3963</v>
      </c>
      <c r="B905" s="62">
        <v>21.36</v>
      </c>
    </row>
    <row r="906" spans="1:2">
      <c r="A906" t="s">
        <v>3964</v>
      </c>
      <c r="B906" s="62">
        <v>21.36</v>
      </c>
    </row>
    <row r="907" spans="1:2">
      <c r="A907" t="s">
        <v>3965</v>
      </c>
      <c r="B907" s="62">
        <v>186</v>
      </c>
    </row>
    <row r="908" spans="1:2">
      <c r="A908" t="s">
        <v>3966</v>
      </c>
      <c r="B908" s="62">
        <v>614.98</v>
      </c>
    </row>
    <row r="909" spans="1:2">
      <c r="A909" t="s">
        <v>3967</v>
      </c>
      <c r="B909" s="62">
        <v>702.13</v>
      </c>
    </row>
    <row r="910" spans="1:2">
      <c r="A910" t="s">
        <v>3968</v>
      </c>
      <c r="B910" s="62">
        <v>1146.3800000000001</v>
      </c>
    </row>
    <row r="911" spans="1:2">
      <c r="A911" t="s">
        <v>3969</v>
      </c>
      <c r="B911" s="62">
        <v>81.97</v>
      </c>
    </row>
    <row r="912" spans="1:2">
      <c r="A912" t="s">
        <v>3970</v>
      </c>
      <c r="B912" s="62">
        <v>186.24</v>
      </c>
    </row>
    <row r="913" spans="1:2">
      <c r="A913" t="s">
        <v>3971</v>
      </c>
      <c r="B913" s="62">
        <v>170.57</v>
      </c>
    </row>
    <row r="914" spans="1:2">
      <c r="A914" t="s">
        <v>3972</v>
      </c>
      <c r="B914" s="62">
        <v>90</v>
      </c>
    </row>
    <row r="915" spans="1:2">
      <c r="A915" t="s">
        <v>3973</v>
      </c>
      <c r="B915" s="62">
        <v>6</v>
      </c>
    </row>
    <row r="916" spans="1:2">
      <c r="A916" t="s">
        <v>3974</v>
      </c>
      <c r="B916" s="62">
        <v>13.96</v>
      </c>
    </row>
    <row r="917" spans="1:2">
      <c r="A917" t="s">
        <v>3975</v>
      </c>
      <c r="B917" s="62">
        <v>54</v>
      </c>
    </row>
    <row r="918" spans="1:2">
      <c r="A918" t="s">
        <v>3976</v>
      </c>
      <c r="B918" s="62">
        <v>70.02</v>
      </c>
    </row>
    <row r="919" spans="1:2">
      <c r="A919" t="s">
        <v>3977</v>
      </c>
      <c r="B919" s="62">
        <v>40.090000000000003</v>
      </c>
    </row>
    <row r="920" spans="1:2">
      <c r="A920" t="s">
        <v>3978</v>
      </c>
      <c r="B920" s="62">
        <v>69.84</v>
      </c>
    </row>
    <row r="921" spans="1:2">
      <c r="A921" t="s">
        <v>3979</v>
      </c>
      <c r="B921" s="62">
        <v>56.7</v>
      </c>
    </row>
    <row r="922" spans="1:2">
      <c r="A922" t="s">
        <v>3980</v>
      </c>
      <c r="B922" s="62">
        <v>16.010000000000002</v>
      </c>
    </row>
    <row r="923" spans="1:2">
      <c r="A923" t="s">
        <v>3981</v>
      </c>
      <c r="B923" s="62">
        <v>5</v>
      </c>
    </row>
    <row r="924" spans="1:2">
      <c r="A924" t="s">
        <v>3982</v>
      </c>
      <c r="B924" s="62">
        <v>34.130000000000003</v>
      </c>
    </row>
    <row r="925" spans="1:2">
      <c r="A925" t="s">
        <v>3983</v>
      </c>
      <c r="B925" s="62">
        <v>23.47</v>
      </c>
    </row>
    <row r="926" spans="1:2">
      <c r="A926" t="s">
        <v>3984</v>
      </c>
      <c r="B926" s="62">
        <v>39.32</v>
      </c>
    </row>
    <row r="927" spans="1:2">
      <c r="A927" t="s">
        <v>3985</v>
      </c>
      <c r="B927" s="62">
        <v>44.14</v>
      </c>
    </row>
    <row r="928" spans="1:2">
      <c r="A928" t="s">
        <v>3986</v>
      </c>
      <c r="B928" s="62">
        <v>32.51</v>
      </c>
    </row>
    <row r="929" spans="1:2">
      <c r="A929" t="s">
        <v>3987</v>
      </c>
      <c r="B929" s="62">
        <v>6.31</v>
      </c>
    </row>
    <row r="930" spans="1:2">
      <c r="A930" t="s">
        <v>3988</v>
      </c>
      <c r="B930" s="62">
        <v>3.55</v>
      </c>
    </row>
    <row r="931" spans="1:2">
      <c r="A931" t="s">
        <v>3989</v>
      </c>
      <c r="B931" s="62">
        <v>97.2</v>
      </c>
    </row>
    <row r="932" spans="1:2">
      <c r="A932" t="s">
        <v>3990</v>
      </c>
      <c r="B932" s="62">
        <v>87.82</v>
      </c>
    </row>
    <row r="933" spans="1:2">
      <c r="A933" t="s">
        <v>3991</v>
      </c>
      <c r="B933" s="62">
        <v>85.32</v>
      </c>
    </row>
    <row r="934" spans="1:2">
      <c r="A934" t="s">
        <v>3992</v>
      </c>
      <c r="B934" s="62">
        <v>74.16</v>
      </c>
    </row>
    <row r="935" spans="1:2">
      <c r="A935" t="s">
        <v>3993</v>
      </c>
      <c r="B935" s="62">
        <v>44.12</v>
      </c>
    </row>
    <row r="936" spans="1:2">
      <c r="A936" t="s">
        <v>3994</v>
      </c>
      <c r="B936" s="62">
        <v>110.45</v>
      </c>
    </row>
    <row r="937" spans="1:2">
      <c r="A937" t="s">
        <v>3995</v>
      </c>
      <c r="B937" s="62">
        <v>98.64</v>
      </c>
    </row>
    <row r="938" spans="1:2">
      <c r="A938" t="s">
        <v>3996</v>
      </c>
      <c r="B938" s="62">
        <v>289.45</v>
      </c>
    </row>
    <row r="939" spans="1:2">
      <c r="A939" t="s">
        <v>3997</v>
      </c>
      <c r="B939" s="62">
        <v>354.93</v>
      </c>
    </row>
    <row r="940" spans="1:2">
      <c r="A940" t="s">
        <v>3998</v>
      </c>
      <c r="B940" s="62">
        <v>155.53</v>
      </c>
    </row>
    <row r="941" spans="1:2">
      <c r="A941" t="s">
        <v>3999</v>
      </c>
      <c r="B941" s="62">
        <v>29.45</v>
      </c>
    </row>
    <row r="942" spans="1:2">
      <c r="A942" t="s">
        <v>4000</v>
      </c>
      <c r="B942" s="62">
        <v>374.4</v>
      </c>
    </row>
    <row r="943" spans="1:2">
      <c r="A943" t="s">
        <v>4001</v>
      </c>
      <c r="B943" s="62">
        <v>368.4</v>
      </c>
    </row>
    <row r="944" spans="1:2">
      <c r="A944" t="s">
        <v>4002</v>
      </c>
      <c r="B944" s="62">
        <v>949.01</v>
      </c>
    </row>
    <row r="945" spans="1:2">
      <c r="A945" t="s">
        <v>4003</v>
      </c>
      <c r="B945" s="62">
        <v>943.22</v>
      </c>
    </row>
    <row r="946" spans="1:2">
      <c r="A946" t="s">
        <v>4004</v>
      </c>
      <c r="B946" s="62">
        <v>21.92</v>
      </c>
    </row>
    <row r="947" spans="1:2">
      <c r="A947" t="s">
        <v>4005</v>
      </c>
      <c r="B947" s="62">
        <v>19.97</v>
      </c>
    </row>
    <row r="948" spans="1:2">
      <c r="A948" t="s">
        <v>4006</v>
      </c>
      <c r="B948" s="62">
        <v>32</v>
      </c>
    </row>
    <row r="949" spans="1:2">
      <c r="A949" t="s">
        <v>4007</v>
      </c>
      <c r="B949" s="62">
        <v>29.05</v>
      </c>
    </row>
    <row r="950" spans="1:2">
      <c r="A950" t="s">
        <v>4008</v>
      </c>
      <c r="B950" s="62">
        <v>48.33</v>
      </c>
    </row>
    <row r="951" spans="1:2">
      <c r="A951" t="s">
        <v>4009</v>
      </c>
      <c r="B951" s="62">
        <v>34.75</v>
      </c>
    </row>
    <row r="952" spans="1:2">
      <c r="A952" t="s">
        <v>4010</v>
      </c>
      <c r="B952" s="62">
        <v>145.74</v>
      </c>
    </row>
    <row r="953" spans="1:2">
      <c r="A953" t="s">
        <v>4011</v>
      </c>
      <c r="B953" s="62">
        <v>30</v>
      </c>
    </row>
    <row r="954" spans="1:2">
      <c r="A954" t="s">
        <v>4012</v>
      </c>
      <c r="B954" s="62">
        <v>328.03</v>
      </c>
    </row>
    <row r="955" spans="1:2">
      <c r="A955" t="s">
        <v>4013</v>
      </c>
      <c r="B955" s="62">
        <v>14.53</v>
      </c>
    </row>
    <row r="956" spans="1:2">
      <c r="A956" t="s">
        <v>4014</v>
      </c>
      <c r="B956" s="62">
        <v>6.76</v>
      </c>
    </row>
    <row r="957" spans="1:2">
      <c r="A957" t="s">
        <v>4015</v>
      </c>
      <c r="B957" s="62">
        <v>2.93</v>
      </c>
    </row>
    <row r="958" spans="1:2">
      <c r="A958" t="s">
        <v>4016</v>
      </c>
      <c r="B958" s="62">
        <v>13.06</v>
      </c>
    </row>
    <row r="959" spans="1:2">
      <c r="A959" t="s">
        <v>4017</v>
      </c>
      <c r="B959" s="62">
        <v>22.4</v>
      </c>
    </row>
    <row r="960" spans="1:2">
      <c r="A960" t="s">
        <v>4018</v>
      </c>
      <c r="B960" s="62">
        <v>10.8</v>
      </c>
    </row>
    <row r="961" spans="1:2">
      <c r="A961" t="s">
        <v>4019</v>
      </c>
      <c r="B961" s="62">
        <v>72.41</v>
      </c>
    </row>
    <row r="962" spans="1:2">
      <c r="A962" t="s">
        <v>4020</v>
      </c>
      <c r="B962" s="62">
        <v>29.26</v>
      </c>
    </row>
    <row r="963" spans="1:2">
      <c r="A963" t="s">
        <v>4021</v>
      </c>
      <c r="B963" s="62">
        <v>879.44</v>
      </c>
    </row>
    <row r="964" spans="1:2">
      <c r="A964" t="s">
        <v>4022</v>
      </c>
      <c r="B964" s="62">
        <v>898.71</v>
      </c>
    </row>
    <row r="965" spans="1:2">
      <c r="A965" t="s">
        <v>4023</v>
      </c>
      <c r="B965" s="62">
        <v>664.45</v>
      </c>
    </row>
    <row r="966" spans="1:2">
      <c r="A966" t="s">
        <v>4024</v>
      </c>
      <c r="B966" s="62">
        <v>45.05</v>
      </c>
    </row>
    <row r="967" spans="1:2">
      <c r="A967" t="s">
        <v>4025</v>
      </c>
      <c r="B967" s="62">
        <v>216</v>
      </c>
    </row>
    <row r="968" spans="1:2">
      <c r="A968" t="s">
        <v>4026</v>
      </c>
      <c r="B968" s="62">
        <v>36.42</v>
      </c>
    </row>
    <row r="969" spans="1:2">
      <c r="A969" t="s">
        <v>4027</v>
      </c>
      <c r="B969" s="62">
        <v>14.6</v>
      </c>
    </row>
    <row r="970" spans="1:2">
      <c r="A970" t="s">
        <v>4028</v>
      </c>
      <c r="B970" s="62">
        <v>21.8</v>
      </c>
    </row>
    <row r="971" spans="1:2">
      <c r="A971" t="s">
        <v>4029</v>
      </c>
      <c r="B971" s="62">
        <v>155.4</v>
      </c>
    </row>
    <row r="972" spans="1:2">
      <c r="A972" t="s">
        <v>4030</v>
      </c>
      <c r="B972" s="62">
        <v>139.68</v>
      </c>
    </row>
    <row r="973" spans="1:2">
      <c r="A973" t="s">
        <v>4031</v>
      </c>
      <c r="B973" s="62">
        <v>184.03</v>
      </c>
    </row>
    <row r="974" spans="1:2">
      <c r="A974" t="s">
        <v>4032</v>
      </c>
      <c r="B974" s="62">
        <v>167.9</v>
      </c>
    </row>
    <row r="975" spans="1:2">
      <c r="A975" t="s">
        <v>4033</v>
      </c>
      <c r="B975" s="62">
        <v>66.58</v>
      </c>
    </row>
    <row r="976" spans="1:2">
      <c r="A976" t="s">
        <v>4034</v>
      </c>
      <c r="B976" s="62">
        <v>85.18</v>
      </c>
    </row>
    <row r="977" spans="1:2">
      <c r="A977" t="s">
        <v>4035</v>
      </c>
      <c r="B977" s="62">
        <v>61.99</v>
      </c>
    </row>
    <row r="978" spans="1:2">
      <c r="A978" t="s">
        <v>4036</v>
      </c>
      <c r="B978" s="62">
        <v>224.62</v>
      </c>
    </row>
    <row r="979" spans="1:2">
      <c r="A979" t="s">
        <v>4037</v>
      </c>
      <c r="B979" s="62">
        <v>74.180000000000007</v>
      </c>
    </row>
    <row r="980" spans="1:2">
      <c r="A980" t="s">
        <v>4038</v>
      </c>
      <c r="B980" s="62">
        <v>151.46</v>
      </c>
    </row>
    <row r="981" spans="1:2">
      <c r="A981" t="s">
        <v>4039</v>
      </c>
      <c r="B981" s="62">
        <v>34.54</v>
      </c>
    </row>
    <row r="982" spans="1:2">
      <c r="A982" t="s">
        <v>4040</v>
      </c>
      <c r="B982" s="62">
        <v>185.69</v>
      </c>
    </row>
    <row r="983" spans="1:2">
      <c r="A983" t="s">
        <v>4041</v>
      </c>
      <c r="B983" s="62">
        <v>417.86</v>
      </c>
    </row>
    <row r="984" spans="1:2">
      <c r="A984" t="s">
        <v>4042</v>
      </c>
      <c r="B984" s="62">
        <v>67.86</v>
      </c>
    </row>
    <row r="985" spans="1:2">
      <c r="A985" t="s">
        <v>4043</v>
      </c>
      <c r="B985" s="62">
        <v>33.270000000000003</v>
      </c>
    </row>
    <row r="986" spans="1:2">
      <c r="A986" t="s">
        <v>4044</v>
      </c>
      <c r="B986" s="62">
        <v>73.209999999999994</v>
      </c>
    </row>
    <row r="987" spans="1:2">
      <c r="A987" t="s">
        <v>4045</v>
      </c>
      <c r="B987" s="62">
        <v>79.72</v>
      </c>
    </row>
    <row r="988" spans="1:2">
      <c r="A988" t="s">
        <v>4046</v>
      </c>
      <c r="B988" s="62">
        <v>29.39</v>
      </c>
    </row>
    <row r="989" spans="1:2">
      <c r="A989" t="s">
        <v>4047</v>
      </c>
      <c r="B989" s="62">
        <v>103.37</v>
      </c>
    </row>
    <row r="990" spans="1:2">
      <c r="A990" t="s">
        <v>4048</v>
      </c>
      <c r="B990" s="62">
        <v>174.43</v>
      </c>
    </row>
    <row r="991" spans="1:2">
      <c r="A991" t="s">
        <v>4049</v>
      </c>
      <c r="B991" s="62">
        <v>1243.26</v>
      </c>
    </row>
    <row r="992" spans="1:2">
      <c r="A992" t="s">
        <v>4050</v>
      </c>
      <c r="B992" s="62">
        <v>899.95</v>
      </c>
    </row>
    <row r="993" spans="1:2">
      <c r="A993" t="s">
        <v>4051</v>
      </c>
      <c r="B993" s="62">
        <v>179.8</v>
      </c>
    </row>
    <row r="994" spans="1:2">
      <c r="A994" t="s">
        <v>4052</v>
      </c>
      <c r="B994" s="62">
        <v>211.82</v>
      </c>
    </row>
    <row r="995" spans="1:2">
      <c r="A995" t="s">
        <v>4053</v>
      </c>
      <c r="B995" s="62">
        <v>101.72</v>
      </c>
    </row>
    <row r="996" spans="1:2">
      <c r="A996" t="s">
        <v>4054</v>
      </c>
      <c r="B996" s="62">
        <v>148.79</v>
      </c>
    </row>
    <row r="997" spans="1:2">
      <c r="A997" t="s">
        <v>4055</v>
      </c>
      <c r="B997" s="62">
        <v>53.66</v>
      </c>
    </row>
    <row r="998" spans="1:2">
      <c r="A998" t="s">
        <v>4056</v>
      </c>
      <c r="B998" s="62">
        <v>62.93</v>
      </c>
    </row>
    <row r="999" spans="1:2">
      <c r="A999" t="s">
        <v>4057</v>
      </c>
      <c r="B999" s="62">
        <v>83.91</v>
      </c>
    </row>
    <row r="1000" spans="1:2">
      <c r="A1000" t="s">
        <v>4058</v>
      </c>
      <c r="B1000" s="62">
        <v>43.88</v>
      </c>
    </row>
    <row r="1001" spans="1:2">
      <c r="A1001" t="s">
        <v>4059</v>
      </c>
      <c r="B1001" s="62">
        <v>37.380000000000003</v>
      </c>
    </row>
    <row r="1002" spans="1:2">
      <c r="A1002" t="s">
        <v>4060</v>
      </c>
      <c r="B1002" s="62">
        <v>9.56</v>
      </c>
    </row>
    <row r="1003" spans="1:2">
      <c r="A1003" t="s">
        <v>4061</v>
      </c>
      <c r="B1003" s="62">
        <v>132.30000000000001</v>
      </c>
    </row>
    <row r="1004" spans="1:2">
      <c r="A1004" t="s">
        <v>4062</v>
      </c>
      <c r="B1004" s="62">
        <v>694.73</v>
      </c>
    </row>
    <row r="1005" spans="1:2">
      <c r="A1005" t="s">
        <v>4063</v>
      </c>
      <c r="B1005" s="62">
        <v>137.9</v>
      </c>
    </row>
    <row r="1006" spans="1:2">
      <c r="A1006" t="s">
        <v>4064</v>
      </c>
      <c r="B1006" s="62">
        <v>243.57</v>
      </c>
    </row>
    <row r="1007" spans="1:2">
      <c r="A1007" t="s">
        <v>4065</v>
      </c>
      <c r="B1007" s="62">
        <v>109.26</v>
      </c>
    </row>
    <row r="1008" spans="1:2">
      <c r="A1008" t="s">
        <v>4066</v>
      </c>
      <c r="B1008" s="62">
        <v>47.44</v>
      </c>
    </row>
    <row r="1009" spans="1:2">
      <c r="A1009" t="s">
        <v>4067</v>
      </c>
      <c r="B1009" s="62">
        <v>11</v>
      </c>
    </row>
    <row r="1010" spans="1:2">
      <c r="A1010" t="s">
        <v>4068</v>
      </c>
      <c r="B1010" s="62">
        <v>71</v>
      </c>
    </row>
    <row r="1011" spans="1:2">
      <c r="A1011" t="s">
        <v>4069</v>
      </c>
      <c r="B1011" s="62">
        <v>41.68</v>
      </c>
    </row>
    <row r="1012" spans="1:2">
      <c r="A1012" t="s">
        <v>4070</v>
      </c>
      <c r="B1012" s="62">
        <v>14.4</v>
      </c>
    </row>
    <row r="1013" spans="1:2">
      <c r="A1013" t="s">
        <v>4071</v>
      </c>
      <c r="B1013" s="62">
        <v>43.81</v>
      </c>
    </row>
    <row r="1014" spans="1:2">
      <c r="A1014" t="s">
        <v>4072</v>
      </c>
      <c r="B1014" s="62">
        <v>27.82</v>
      </c>
    </row>
    <row r="1015" spans="1:2">
      <c r="A1015" t="s">
        <v>4073</v>
      </c>
      <c r="B1015" s="62">
        <v>2.62</v>
      </c>
    </row>
    <row r="1016" spans="1:2">
      <c r="A1016" t="s">
        <v>4074</v>
      </c>
      <c r="B1016" s="62">
        <v>88.72</v>
      </c>
    </row>
    <row r="1017" spans="1:2">
      <c r="A1017" t="s">
        <v>4075</v>
      </c>
      <c r="B1017" s="62">
        <v>45.88</v>
      </c>
    </row>
    <row r="1018" spans="1:2">
      <c r="A1018" t="s">
        <v>4076</v>
      </c>
      <c r="B1018" s="62">
        <v>43.7</v>
      </c>
    </row>
    <row r="1019" spans="1:2">
      <c r="A1019" t="s">
        <v>4077</v>
      </c>
      <c r="B1019" s="62">
        <v>141.13999999999999</v>
      </c>
    </row>
    <row r="1020" spans="1:2">
      <c r="A1020" t="s">
        <v>4078</v>
      </c>
      <c r="B1020" s="62">
        <v>468.88</v>
      </c>
    </row>
    <row r="1021" spans="1:2">
      <c r="A1021" t="s">
        <v>4079</v>
      </c>
      <c r="B1021" s="62">
        <v>123.22</v>
      </c>
    </row>
    <row r="1022" spans="1:2">
      <c r="A1022" t="s">
        <v>4080</v>
      </c>
      <c r="B1022" s="62">
        <v>602.59</v>
      </c>
    </row>
    <row r="1023" spans="1:2">
      <c r="A1023" t="s">
        <v>4081</v>
      </c>
      <c r="B1023" s="62">
        <v>464.12</v>
      </c>
    </row>
    <row r="1024" spans="1:2">
      <c r="A1024" t="s">
        <v>4082</v>
      </c>
      <c r="B1024" s="62">
        <v>450.33</v>
      </c>
    </row>
    <row r="1025" spans="1:2">
      <c r="A1025" t="s">
        <v>4083</v>
      </c>
      <c r="B1025" s="62">
        <v>6.5</v>
      </c>
    </row>
    <row r="1026" spans="1:2">
      <c r="A1026" t="s">
        <v>4084</v>
      </c>
      <c r="B1026" s="62">
        <v>53.87</v>
      </c>
    </row>
    <row r="1027" spans="1:2">
      <c r="A1027" t="s">
        <v>4085</v>
      </c>
      <c r="B1027" s="62">
        <v>688.16</v>
      </c>
    </row>
    <row r="1028" spans="1:2">
      <c r="A1028" t="s">
        <v>4086</v>
      </c>
      <c r="B1028" s="62">
        <v>481.38</v>
      </c>
    </row>
    <row r="1029" spans="1:2">
      <c r="A1029" t="s">
        <v>4087</v>
      </c>
      <c r="B1029" s="62">
        <v>713.46</v>
      </c>
    </row>
    <row r="1030" spans="1:2">
      <c r="A1030" t="s">
        <v>4088</v>
      </c>
      <c r="B1030" s="62">
        <v>70.22</v>
      </c>
    </row>
    <row r="1031" spans="1:2">
      <c r="A1031" t="s">
        <v>4089</v>
      </c>
      <c r="B1031" s="62">
        <v>90.8</v>
      </c>
    </row>
    <row r="1032" spans="1:2">
      <c r="A1032" t="s">
        <v>4090</v>
      </c>
      <c r="B1032" s="62">
        <v>478.08</v>
      </c>
    </row>
    <row r="1033" spans="1:2">
      <c r="A1033" t="s">
        <v>4091</v>
      </c>
      <c r="B1033" s="62">
        <v>2.7</v>
      </c>
    </row>
    <row r="1034" spans="1:2">
      <c r="A1034" t="s">
        <v>4092</v>
      </c>
      <c r="B1034" s="62">
        <v>3.6</v>
      </c>
    </row>
    <row r="1035" spans="1:2">
      <c r="A1035" t="s">
        <v>4093</v>
      </c>
      <c r="B1035" s="62">
        <v>51.87</v>
      </c>
    </row>
    <row r="1036" spans="1:2">
      <c r="A1036" t="s">
        <v>4094</v>
      </c>
      <c r="B1036" s="62">
        <v>2.52</v>
      </c>
    </row>
    <row r="1037" spans="1:2">
      <c r="A1037" t="s">
        <v>4095</v>
      </c>
      <c r="B1037" s="62">
        <v>1.1200000000000001</v>
      </c>
    </row>
    <row r="1038" spans="1:2">
      <c r="A1038" t="s">
        <v>4096</v>
      </c>
      <c r="B1038" s="62">
        <v>71.099999999999994</v>
      </c>
    </row>
    <row r="1039" spans="1:2">
      <c r="A1039" t="s">
        <v>4097</v>
      </c>
      <c r="B1039" s="62">
        <v>75.599999999999994</v>
      </c>
    </row>
    <row r="1040" spans="1:2">
      <c r="A1040" t="s">
        <v>4098</v>
      </c>
      <c r="B1040" s="62">
        <v>71.099999999999994</v>
      </c>
    </row>
    <row r="1041" spans="1:2">
      <c r="A1041" t="s">
        <v>4099</v>
      </c>
      <c r="B1041" s="62">
        <v>73.260000000000005</v>
      </c>
    </row>
    <row r="1042" spans="1:2">
      <c r="A1042" t="s">
        <v>4100</v>
      </c>
      <c r="B1042" s="62">
        <v>16.7</v>
      </c>
    </row>
    <row r="1043" spans="1:2">
      <c r="A1043" t="s">
        <v>4101</v>
      </c>
      <c r="B1043" s="62">
        <v>47.1</v>
      </c>
    </row>
    <row r="1044" spans="1:2">
      <c r="A1044" t="s">
        <v>4102</v>
      </c>
      <c r="B1044" s="62">
        <v>35.44</v>
      </c>
    </row>
    <row r="1045" spans="1:2">
      <c r="A1045" t="s">
        <v>4103</v>
      </c>
      <c r="B1045" s="62">
        <v>13.44</v>
      </c>
    </row>
    <row r="1046" spans="1:2">
      <c r="A1046" t="s">
        <v>4104</v>
      </c>
      <c r="B1046" s="62">
        <v>35.44</v>
      </c>
    </row>
    <row r="1047" spans="1:2">
      <c r="A1047" t="s">
        <v>4105</v>
      </c>
      <c r="B1047" s="62">
        <v>129.6</v>
      </c>
    </row>
    <row r="1048" spans="1:2">
      <c r="A1048" t="s">
        <v>4106</v>
      </c>
      <c r="B1048" s="62">
        <v>77.88</v>
      </c>
    </row>
    <row r="1049" spans="1:2">
      <c r="A1049" t="s">
        <v>4107</v>
      </c>
      <c r="B1049" s="62">
        <v>144.9</v>
      </c>
    </row>
    <row r="1050" spans="1:2">
      <c r="A1050" t="s">
        <v>4108</v>
      </c>
      <c r="B1050" s="62">
        <v>45.38</v>
      </c>
    </row>
    <row r="1051" spans="1:2">
      <c r="A1051" t="s">
        <v>4109</v>
      </c>
      <c r="B1051" s="62">
        <v>74.2</v>
      </c>
    </row>
    <row r="1052" spans="1:2">
      <c r="A1052" t="s">
        <v>4110</v>
      </c>
      <c r="B1052" s="62">
        <v>246.98</v>
      </c>
    </row>
    <row r="1053" spans="1:2">
      <c r="A1053" t="s">
        <v>4111</v>
      </c>
      <c r="B1053" s="62">
        <v>40.200000000000003</v>
      </c>
    </row>
    <row r="1054" spans="1:2">
      <c r="A1054" t="s">
        <v>4112</v>
      </c>
      <c r="B1054" s="62">
        <v>8.43</v>
      </c>
    </row>
    <row r="1055" spans="1:2">
      <c r="A1055" t="s">
        <v>4113</v>
      </c>
      <c r="B1055" s="62">
        <v>96.39</v>
      </c>
    </row>
    <row r="1056" spans="1:2">
      <c r="A1056" t="s">
        <v>4114</v>
      </c>
      <c r="B1056" s="62">
        <v>127.36</v>
      </c>
    </row>
    <row r="1057" spans="1:2">
      <c r="A1057" t="s">
        <v>4115</v>
      </c>
      <c r="B1057" s="62">
        <v>138.55000000000001</v>
      </c>
    </row>
    <row r="1058" spans="1:2">
      <c r="A1058" t="s">
        <v>4116</v>
      </c>
      <c r="B1058" s="62">
        <v>124.21</v>
      </c>
    </row>
    <row r="1059" spans="1:2">
      <c r="A1059" t="s">
        <v>4117</v>
      </c>
      <c r="B1059" s="62">
        <v>94.68</v>
      </c>
    </row>
    <row r="1060" spans="1:2">
      <c r="A1060" t="s">
        <v>4118</v>
      </c>
      <c r="B1060" s="62">
        <v>94.68</v>
      </c>
    </row>
    <row r="1061" spans="1:2">
      <c r="A1061" t="s">
        <v>4119</v>
      </c>
      <c r="B1061" s="62">
        <v>94.68</v>
      </c>
    </row>
    <row r="1062" spans="1:2">
      <c r="A1062" t="s">
        <v>4120</v>
      </c>
      <c r="B1062" s="62">
        <v>94.68</v>
      </c>
    </row>
    <row r="1063" spans="1:2">
      <c r="A1063" t="s">
        <v>4120</v>
      </c>
      <c r="B1063" s="62">
        <v>134.44</v>
      </c>
    </row>
    <row r="1064" spans="1:2">
      <c r="A1064" t="s">
        <v>4121</v>
      </c>
      <c r="B1064" s="62">
        <v>323.60000000000002</v>
      </c>
    </row>
    <row r="1065" spans="1:2">
      <c r="A1065" t="s">
        <v>4122</v>
      </c>
      <c r="B1065" s="62">
        <v>184.52</v>
      </c>
    </row>
    <row r="1066" spans="1:2">
      <c r="A1066" t="s">
        <v>4123</v>
      </c>
      <c r="B1066" s="62">
        <v>184.51</v>
      </c>
    </row>
    <row r="1067" spans="1:2">
      <c r="A1067" t="s">
        <v>4124</v>
      </c>
      <c r="B1067" s="62">
        <v>23.7</v>
      </c>
    </row>
    <row r="1068" spans="1:2">
      <c r="A1068" t="s">
        <v>4125</v>
      </c>
      <c r="B1068" s="62">
        <v>13.78</v>
      </c>
    </row>
    <row r="1069" spans="1:2">
      <c r="A1069" t="s">
        <v>4126</v>
      </c>
      <c r="B1069" s="62">
        <v>72.36</v>
      </c>
    </row>
    <row r="1070" spans="1:2">
      <c r="A1070" t="s">
        <v>4127</v>
      </c>
      <c r="B1070" s="62">
        <v>441.84</v>
      </c>
    </row>
    <row r="1071" spans="1:2">
      <c r="A1071" t="s">
        <v>4128</v>
      </c>
      <c r="B1071" s="62">
        <v>97.01</v>
      </c>
    </row>
    <row r="1072" spans="1:2">
      <c r="A1072" t="s">
        <v>4129</v>
      </c>
      <c r="B1072" s="62">
        <v>34.78</v>
      </c>
    </row>
    <row r="1073" spans="1:2">
      <c r="A1073" t="s">
        <v>4130</v>
      </c>
      <c r="B1073" s="62">
        <v>41.41</v>
      </c>
    </row>
    <row r="1074" spans="1:2">
      <c r="A1074" t="s">
        <v>4131</v>
      </c>
      <c r="B1074" s="62">
        <v>12.3</v>
      </c>
    </row>
    <row r="1075" spans="1:2">
      <c r="A1075" t="s">
        <v>4132</v>
      </c>
      <c r="B1075" s="62">
        <v>138.57</v>
      </c>
    </row>
    <row r="1076" spans="1:2">
      <c r="A1076" t="s">
        <v>4133</v>
      </c>
      <c r="B1076" s="62">
        <v>58.25</v>
      </c>
    </row>
    <row r="1077" spans="1:2">
      <c r="A1077" t="s">
        <v>4134</v>
      </c>
      <c r="B1077" s="62">
        <v>79.23</v>
      </c>
    </row>
    <row r="1078" spans="1:2">
      <c r="A1078" t="s">
        <v>4135</v>
      </c>
      <c r="B1078" s="62">
        <v>75.03</v>
      </c>
    </row>
    <row r="1079" spans="1:2">
      <c r="A1079" t="s">
        <v>4136</v>
      </c>
      <c r="B1079" s="62">
        <v>9.18</v>
      </c>
    </row>
    <row r="1080" spans="1:2">
      <c r="A1080" t="s">
        <v>4137</v>
      </c>
      <c r="B1080" s="62">
        <v>431.34</v>
      </c>
    </row>
    <row r="1081" spans="1:2">
      <c r="A1081" t="s">
        <v>4138</v>
      </c>
      <c r="B1081" s="62">
        <v>13.75</v>
      </c>
    </row>
    <row r="1082" spans="1:2">
      <c r="A1082" t="s">
        <v>4139</v>
      </c>
      <c r="B1082" s="62">
        <v>189.07</v>
      </c>
    </row>
    <row r="1083" spans="1:2">
      <c r="A1083" t="s">
        <v>4140</v>
      </c>
      <c r="B1083" s="62">
        <v>192.9</v>
      </c>
    </row>
    <row r="1084" spans="1:2">
      <c r="A1084" t="s">
        <v>4141</v>
      </c>
      <c r="B1084" s="62">
        <v>103.5</v>
      </c>
    </row>
    <row r="1085" spans="1:2">
      <c r="A1085" t="s">
        <v>4142</v>
      </c>
      <c r="B1085" s="62">
        <v>94.87</v>
      </c>
    </row>
    <row r="1086" spans="1:2">
      <c r="A1086" t="s">
        <v>4143</v>
      </c>
      <c r="B1086" s="62">
        <v>436.62</v>
      </c>
    </row>
    <row r="1087" spans="1:2">
      <c r="A1087" t="s">
        <v>4144</v>
      </c>
      <c r="B1087" s="62">
        <v>511</v>
      </c>
    </row>
    <row r="1088" spans="1:2">
      <c r="A1088" t="s">
        <v>4145</v>
      </c>
      <c r="B1088" s="62">
        <v>362</v>
      </c>
    </row>
    <row r="1089" spans="1:2">
      <c r="A1089" t="s">
        <v>4146</v>
      </c>
      <c r="B1089" s="62">
        <v>472.13</v>
      </c>
    </row>
    <row r="1090" spans="1:2">
      <c r="A1090" t="s">
        <v>4147</v>
      </c>
      <c r="B1090" s="62">
        <v>410.61</v>
      </c>
    </row>
    <row r="1091" spans="1:2">
      <c r="A1091" t="s">
        <v>4148</v>
      </c>
      <c r="B1091" s="62">
        <v>247.05</v>
      </c>
    </row>
    <row r="1092" spans="1:2">
      <c r="A1092" t="s">
        <v>4149</v>
      </c>
      <c r="B1092" s="62">
        <v>321.56</v>
      </c>
    </row>
    <row r="1093" spans="1:2">
      <c r="A1093" t="s">
        <v>4150</v>
      </c>
      <c r="B1093" s="62">
        <v>46.86</v>
      </c>
    </row>
    <row r="1094" spans="1:2">
      <c r="A1094" t="s">
        <v>4151</v>
      </c>
      <c r="B1094" s="62">
        <v>324.23</v>
      </c>
    </row>
    <row r="1095" spans="1:2">
      <c r="A1095" t="s">
        <v>4152</v>
      </c>
      <c r="B1095" s="62">
        <v>196</v>
      </c>
    </row>
    <row r="1096" spans="1:2">
      <c r="A1096" t="s">
        <v>4153</v>
      </c>
      <c r="B1096" s="62">
        <v>15.9</v>
      </c>
    </row>
    <row r="1097" spans="1:2">
      <c r="A1097" t="s">
        <v>4154</v>
      </c>
      <c r="B1097" s="62">
        <v>229.12</v>
      </c>
    </row>
    <row r="1098" spans="1:2">
      <c r="A1098" t="s">
        <v>4155</v>
      </c>
      <c r="B1098" s="62">
        <v>419.29</v>
      </c>
    </row>
    <row r="1099" spans="1:2">
      <c r="A1099" t="s">
        <v>4156</v>
      </c>
      <c r="B1099" s="62">
        <v>13.82</v>
      </c>
    </row>
    <row r="1100" spans="1:2">
      <c r="A1100" t="s">
        <v>4157</v>
      </c>
      <c r="B1100" s="62">
        <v>26.2</v>
      </c>
    </row>
    <row r="1101" spans="1:2">
      <c r="A1101" t="s">
        <v>4158</v>
      </c>
      <c r="B1101" s="62">
        <v>214.31</v>
      </c>
    </row>
    <row r="1102" spans="1:2">
      <c r="A1102" t="s">
        <v>4159</v>
      </c>
      <c r="B1102" s="62">
        <v>447.65</v>
      </c>
    </row>
    <row r="1103" spans="1:2">
      <c r="A1103" t="s">
        <v>4160</v>
      </c>
      <c r="B1103" s="62">
        <v>74.489999999999995</v>
      </c>
    </row>
    <row r="1104" spans="1:2">
      <c r="A1104" t="s">
        <v>4161</v>
      </c>
      <c r="B1104" s="62">
        <v>36</v>
      </c>
    </row>
    <row r="1105" spans="1:2">
      <c r="A1105" t="s">
        <v>4162</v>
      </c>
      <c r="B1105" s="62">
        <v>32.93</v>
      </c>
    </row>
    <row r="1106" spans="1:2">
      <c r="A1106" t="s">
        <v>4163</v>
      </c>
      <c r="B1106" s="62">
        <v>69.33</v>
      </c>
    </row>
    <row r="1107" spans="1:2">
      <c r="A1107" t="s">
        <v>4164</v>
      </c>
      <c r="B1107" s="62">
        <v>13.84</v>
      </c>
    </row>
    <row r="1108" spans="1:2">
      <c r="A1108" t="s">
        <v>4165</v>
      </c>
      <c r="B1108" s="62">
        <v>146.88</v>
      </c>
    </row>
    <row r="1109" spans="1:2">
      <c r="A1109" t="s">
        <v>4166</v>
      </c>
      <c r="B1109" s="62">
        <v>81</v>
      </c>
    </row>
    <row r="1110" spans="1:2">
      <c r="A1110" t="s">
        <v>4167</v>
      </c>
      <c r="B1110" s="62">
        <v>9.34</v>
      </c>
    </row>
    <row r="1111" spans="1:2">
      <c r="A1111" t="s">
        <v>4168</v>
      </c>
      <c r="B1111" s="62">
        <v>7.42</v>
      </c>
    </row>
    <row r="1112" spans="1:2">
      <c r="A1112" t="s">
        <v>4169</v>
      </c>
      <c r="B1112" s="62">
        <v>9.34</v>
      </c>
    </row>
    <row r="1113" spans="1:2">
      <c r="A1113" t="s">
        <v>4170</v>
      </c>
      <c r="B1113" s="62">
        <v>20.5</v>
      </c>
    </row>
    <row r="1114" spans="1:2">
      <c r="A1114" t="s">
        <v>4171</v>
      </c>
      <c r="B1114" s="62">
        <v>12.28</v>
      </c>
    </row>
    <row r="1115" spans="1:2">
      <c r="A1115" t="s">
        <v>4172</v>
      </c>
      <c r="B1115" s="62">
        <v>6.32</v>
      </c>
    </row>
    <row r="1116" spans="1:2">
      <c r="A1116" t="s">
        <v>4173</v>
      </c>
      <c r="B1116" s="62">
        <v>3.6</v>
      </c>
    </row>
    <row r="1117" spans="1:2">
      <c r="A1117" t="s">
        <v>4174</v>
      </c>
      <c r="B1117" s="62">
        <v>30.62</v>
      </c>
    </row>
    <row r="1118" spans="1:2">
      <c r="A1118" t="s">
        <v>4175</v>
      </c>
      <c r="B1118" s="62">
        <v>99.54</v>
      </c>
    </row>
    <row r="1119" spans="1:2">
      <c r="A1119" t="s">
        <v>4176</v>
      </c>
      <c r="B1119" s="62">
        <v>1032.5</v>
      </c>
    </row>
    <row r="1120" spans="1:2">
      <c r="A1120" t="s">
        <v>4177</v>
      </c>
      <c r="B1120" s="62">
        <v>242.64</v>
      </c>
    </row>
    <row r="1121" spans="1:2">
      <c r="A1121" t="s">
        <v>4178</v>
      </c>
      <c r="B1121" s="62">
        <v>45.7</v>
      </c>
    </row>
    <row r="1122" spans="1:2">
      <c r="A1122" t="s">
        <v>4179</v>
      </c>
      <c r="B1122" s="62">
        <v>194.6</v>
      </c>
    </row>
    <row r="1123" spans="1:2">
      <c r="A1123" t="s">
        <v>4180</v>
      </c>
      <c r="B1123" s="62">
        <v>523.79999999999995</v>
      </c>
    </row>
    <row r="1124" spans="1:2">
      <c r="A1124" t="s">
        <v>4181</v>
      </c>
      <c r="B1124" s="62">
        <v>97.75</v>
      </c>
    </row>
    <row r="1125" spans="1:2">
      <c r="A1125" t="s">
        <v>4182</v>
      </c>
      <c r="B1125" s="62">
        <v>11.29</v>
      </c>
    </row>
    <row r="1126" spans="1:2">
      <c r="A1126" t="s">
        <v>4183</v>
      </c>
      <c r="B1126" s="62">
        <v>37.57</v>
      </c>
    </row>
    <row r="1127" spans="1:2">
      <c r="A1127" t="s">
        <v>4184</v>
      </c>
      <c r="B1127" s="62">
        <v>25.92</v>
      </c>
    </row>
    <row r="1128" spans="1:2">
      <c r="A1128" t="s">
        <v>4185</v>
      </c>
      <c r="B1128" s="62">
        <v>39.44</v>
      </c>
    </row>
    <row r="1129" spans="1:2">
      <c r="A1129" t="s">
        <v>4186</v>
      </c>
      <c r="B1129" s="62">
        <v>153.75</v>
      </c>
    </row>
    <row r="1130" spans="1:2">
      <c r="A1130" t="s">
        <v>4187</v>
      </c>
      <c r="B1130" s="62">
        <v>54.22</v>
      </c>
    </row>
    <row r="1131" spans="1:2">
      <c r="A1131" t="s">
        <v>4188</v>
      </c>
      <c r="B1131" s="62">
        <v>97</v>
      </c>
    </row>
    <row r="1132" spans="1:2">
      <c r="A1132" t="s">
        <v>4189</v>
      </c>
      <c r="B1132" s="62">
        <v>39.31</v>
      </c>
    </row>
    <row r="1133" spans="1:2">
      <c r="A1133" t="s">
        <v>4190</v>
      </c>
      <c r="B1133" s="62">
        <v>22.04</v>
      </c>
    </row>
    <row r="1134" spans="1:2">
      <c r="A1134" t="s">
        <v>4191</v>
      </c>
      <c r="B1134" s="62">
        <v>30.51</v>
      </c>
    </row>
    <row r="1135" spans="1:2">
      <c r="A1135" t="s">
        <v>4192</v>
      </c>
      <c r="B1135" s="62">
        <v>60.95</v>
      </c>
    </row>
    <row r="1136" spans="1:2">
      <c r="A1136" t="s">
        <v>4193</v>
      </c>
      <c r="B1136" s="62">
        <v>141.38999999999999</v>
      </c>
    </row>
    <row r="1137" spans="1:2">
      <c r="A1137" t="s">
        <v>4194</v>
      </c>
      <c r="B1137" s="62">
        <v>67.67</v>
      </c>
    </row>
    <row r="1138" spans="1:2">
      <c r="A1138" t="s">
        <v>4195</v>
      </c>
      <c r="B1138" s="62">
        <v>47.49</v>
      </c>
    </row>
    <row r="1139" spans="1:2">
      <c r="A1139" t="s">
        <v>4196</v>
      </c>
      <c r="B1139" s="62">
        <v>67.16</v>
      </c>
    </row>
    <row r="1140" spans="1:2">
      <c r="A1140" t="s">
        <v>4197</v>
      </c>
      <c r="B1140" s="62">
        <v>9.85</v>
      </c>
    </row>
    <row r="1141" spans="1:2">
      <c r="A1141" t="s">
        <v>4198</v>
      </c>
      <c r="B1141" s="62">
        <v>41.47</v>
      </c>
    </row>
    <row r="1142" spans="1:2">
      <c r="A1142" t="s">
        <v>4199</v>
      </c>
      <c r="B1142" s="62">
        <v>34.520000000000003</v>
      </c>
    </row>
    <row r="1143" spans="1:2">
      <c r="A1143" t="s">
        <v>4200</v>
      </c>
      <c r="B1143" s="62">
        <v>34.520000000000003</v>
      </c>
    </row>
    <row r="1144" spans="1:2">
      <c r="A1144" t="s">
        <v>4201</v>
      </c>
      <c r="B1144" s="62">
        <v>20.94</v>
      </c>
    </row>
    <row r="1145" spans="1:2">
      <c r="A1145" t="s">
        <v>4202</v>
      </c>
      <c r="B1145" s="62">
        <v>34.520000000000003</v>
      </c>
    </row>
    <row r="1146" spans="1:2">
      <c r="A1146" t="s">
        <v>4203</v>
      </c>
      <c r="B1146" s="62">
        <v>16.39</v>
      </c>
    </row>
    <row r="1147" spans="1:2">
      <c r="A1147" t="s">
        <v>4204</v>
      </c>
      <c r="B1147" s="62">
        <v>12.06</v>
      </c>
    </row>
    <row r="1148" spans="1:2">
      <c r="A1148" t="s">
        <v>4205</v>
      </c>
      <c r="B1148" s="62">
        <v>7.99</v>
      </c>
    </row>
    <row r="1149" spans="1:2">
      <c r="A1149" t="s">
        <v>4206</v>
      </c>
      <c r="B1149" s="62">
        <v>13.11</v>
      </c>
    </row>
    <row r="1150" spans="1:2">
      <c r="A1150" t="s">
        <v>4207</v>
      </c>
      <c r="B1150" s="62">
        <v>7.99</v>
      </c>
    </row>
    <row r="1151" spans="1:2">
      <c r="A1151" t="s">
        <v>4208</v>
      </c>
      <c r="B1151" s="62">
        <v>7.99</v>
      </c>
    </row>
    <row r="1152" spans="1:2">
      <c r="A1152" t="s">
        <v>4209</v>
      </c>
      <c r="B1152" s="62">
        <v>7.99</v>
      </c>
    </row>
    <row r="1153" spans="1:2">
      <c r="A1153" t="s">
        <v>4210</v>
      </c>
      <c r="B1153" s="62">
        <v>10.78</v>
      </c>
    </row>
    <row r="1154" spans="1:2">
      <c r="A1154" t="s">
        <v>4211</v>
      </c>
      <c r="B1154" s="62">
        <v>13.11</v>
      </c>
    </row>
    <row r="1155" spans="1:2">
      <c r="A1155" t="s">
        <v>4212</v>
      </c>
      <c r="B1155" s="62">
        <v>10.78</v>
      </c>
    </row>
    <row r="1156" spans="1:2">
      <c r="A1156" t="s">
        <v>4213</v>
      </c>
      <c r="B1156" s="62">
        <v>7.99</v>
      </c>
    </row>
    <row r="1157" spans="1:2">
      <c r="A1157" t="s">
        <v>4214</v>
      </c>
      <c r="B1157" s="62">
        <v>7.99</v>
      </c>
    </row>
    <row r="1158" spans="1:2">
      <c r="A1158" t="s">
        <v>4215</v>
      </c>
      <c r="B1158" s="62">
        <v>10.78</v>
      </c>
    </row>
    <row r="1159" spans="1:2">
      <c r="A1159" t="s">
        <v>4216</v>
      </c>
      <c r="B1159" s="62">
        <v>13.11</v>
      </c>
    </row>
    <row r="1160" spans="1:2">
      <c r="A1160" t="s">
        <v>4217</v>
      </c>
      <c r="B1160" s="62">
        <v>10.78</v>
      </c>
    </row>
    <row r="1161" spans="1:2">
      <c r="A1161" t="s">
        <v>4218</v>
      </c>
      <c r="B1161" s="62">
        <v>38.340000000000003</v>
      </c>
    </row>
    <row r="1162" spans="1:2">
      <c r="A1162" t="s">
        <v>4219</v>
      </c>
      <c r="B1162" s="62">
        <v>171.6</v>
      </c>
    </row>
    <row r="1163" spans="1:2">
      <c r="A1163" t="s">
        <v>4220</v>
      </c>
      <c r="B1163" s="62">
        <v>15.35</v>
      </c>
    </row>
    <row r="1164" spans="1:2">
      <c r="A1164" t="s">
        <v>4221</v>
      </c>
      <c r="B1164" s="62">
        <v>30.64</v>
      </c>
    </row>
    <row r="1165" spans="1:2">
      <c r="A1165" t="s">
        <v>4222</v>
      </c>
      <c r="B1165" s="62">
        <v>30.64</v>
      </c>
    </row>
    <row r="1166" spans="1:2">
      <c r="A1166" t="s">
        <v>4223</v>
      </c>
      <c r="B1166" s="62">
        <v>9.1300000000000008</v>
      </c>
    </row>
    <row r="1167" spans="1:2">
      <c r="A1167" t="s">
        <v>4224</v>
      </c>
      <c r="B1167" s="62">
        <v>10.51</v>
      </c>
    </row>
    <row r="1168" spans="1:2">
      <c r="A1168" t="s">
        <v>4225</v>
      </c>
      <c r="B1168" s="62">
        <v>15.24</v>
      </c>
    </row>
    <row r="1169" spans="1:2">
      <c r="A1169" t="s">
        <v>4226</v>
      </c>
      <c r="B1169" s="62">
        <v>15.25</v>
      </c>
    </row>
    <row r="1170" spans="1:2">
      <c r="A1170" t="s">
        <v>4227</v>
      </c>
      <c r="B1170" s="62">
        <v>14.92</v>
      </c>
    </row>
    <row r="1171" spans="1:2">
      <c r="A1171" t="s">
        <v>4228</v>
      </c>
      <c r="B1171" s="62">
        <v>8.6</v>
      </c>
    </row>
    <row r="1172" spans="1:2">
      <c r="A1172" t="s">
        <v>4229</v>
      </c>
      <c r="B1172" s="62">
        <v>10.029999999999999</v>
      </c>
    </row>
    <row r="1173" spans="1:2">
      <c r="A1173" t="s">
        <v>4230</v>
      </c>
      <c r="B1173" s="62">
        <v>14.68</v>
      </c>
    </row>
    <row r="1174" spans="1:2">
      <c r="A1174" t="s">
        <v>4231</v>
      </c>
      <c r="B1174" s="62">
        <v>10.119999999999999</v>
      </c>
    </row>
    <row r="1175" spans="1:2">
      <c r="A1175" t="s">
        <v>4232</v>
      </c>
      <c r="B1175" s="62">
        <v>17.010000000000002</v>
      </c>
    </row>
    <row r="1176" spans="1:2">
      <c r="A1176" t="s">
        <v>4233</v>
      </c>
      <c r="B1176" s="62">
        <v>13.38</v>
      </c>
    </row>
    <row r="1177" spans="1:2">
      <c r="A1177" t="s">
        <v>4234</v>
      </c>
      <c r="B1177" s="62">
        <v>63.96</v>
      </c>
    </row>
    <row r="1178" spans="1:2">
      <c r="A1178" t="s">
        <v>4235</v>
      </c>
      <c r="B1178" s="62">
        <v>14.92</v>
      </c>
    </row>
    <row r="1179" spans="1:2">
      <c r="A1179" t="s">
        <v>4236</v>
      </c>
      <c r="B1179" s="62">
        <v>10.52</v>
      </c>
    </row>
    <row r="1180" spans="1:2">
      <c r="A1180" t="s">
        <v>4237</v>
      </c>
      <c r="B1180" s="62">
        <v>10.52</v>
      </c>
    </row>
    <row r="1181" spans="1:2">
      <c r="A1181" t="s">
        <v>4238</v>
      </c>
      <c r="B1181" s="62">
        <v>16.25</v>
      </c>
    </row>
    <row r="1182" spans="1:2">
      <c r="A1182" t="s">
        <v>4239</v>
      </c>
      <c r="B1182" s="62">
        <v>10.27</v>
      </c>
    </row>
    <row r="1183" spans="1:2">
      <c r="A1183" t="s">
        <v>4240</v>
      </c>
      <c r="B1183" s="62">
        <v>9.2200000000000006</v>
      </c>
    </row>
    <row r="1184" spans="1:2">
      <c r="A1184" t="s">
        <v>4241</v>
      </c>
      <c r="B1184" s="62">
        <v>10.1</v>
      </c>
    </row>
    <row r="1185" spans="1:2">
      <c r="A1185" t="s">
        <v>4242</v>
      </c>
      <c r="B1185" s="62">
        <v>15.64</v>
      </c>
    </row>
    <row r="1186" spans="1:2">
      <c r="A1186" t="s">
        <v>4243</v>
      </c>
      <c r="B1186" s="62">
        <v>15.25</v>
      </c>
    </row>
    <row r="1187" spans="1:2">
      <c r="A1187" t="s">
        <v>4244</v>
      </c>
      <c r="B1187" s="62">
        <v>15.9</v>
      </c>
    </row>
    <row r="1188" spans="1:2">
      <c r="A1188" t="s">
        <v>4245</v>
      </c>
      <c r="B1188" s="62">
        <v>24.12</v>
      </c>
    </row>
    <row r="1189" spans="1:2">
      <c r="A1189" t="s">
        <v>4246</v>
      </c>
      <c r="B1189" s="62">
        <v>32.72</v>
      </c>
    </row>
    <row r="1190" spans="1:2">
      <c r="A1190" t="s">
        <v>4247</v>
      </c>
      <c r="B1190" s="62">
        <v>5.85</v>
      </c>
    </row>
    <row r="1191" spans="1:2">
      <c r="A1191" t="s">
        <v>4248</v>
      </c>
      <c r="B1191" s="62">
        <v>6.24</v>
      </c>
    </row>
    <row r="1192" spans="1:2">
      <c r="A1192" t="s">
        <v>4249</v>
      </c>
      <c r="B1192" s="62">
        <v>6.26</v>
      </c>
    </row>
    <row r="1193" spans="1:2">
      <c r="A1193" t="s">
        <v>4250</v>
      </c>
      <c r="B1193" s="62">
        <v>24.9</v>
      </c>
    </row>
    <row r="1194" spans="1:2">
      <c r="A1194" t="s">
        <v>4251</v>
      </c>
      <c r="B1194" s="62">
        <v>18.059999999999999</v>
      </c>
    </row>
    <row r="1195" spans="1:2">
      <c r="A1195" t="s">
        <v>4252</v>
      </c>
      <c r="B1195" s="62">
        <v>20.91</v>
      </c>
    </row>
    <row r="1196" spans="1:2">
      <c r="A1196" t="s">
        <v>4253</v>
      </c>
      <c r="B1196" s="62">
        <v>19.96</v>
      </c>
    </row>
    <row r="1197" spans="1:2">
      <c r="A1197" t="s">
        <v>4254</v>
      </c>
      <c r="B1197" s="62">
        <v>29.94</v>
      </c>
    </row>
    <row r="1198" spans="1:2">
      <c r="A1198" t="s">
        <v>4255</v>
      </c>
      <c r="B1198" s="62">
        <v>2.4</v>
      </c>
    </row>
    <row r="1199" spans="1:2">
      <c r="A1199" t="s">
        <v>4256</v>
      </c>
      <c r="B1199" s="62">
        <v>29.38</v>
      </c>
    </row>
    <row r="1200" spans="1:2">
      <c r="A1200" t="s">
        <v>4257</v>
      </c>
      <c r="B1200" s="62">
        <v>39.6</v>
      </c>
    </row>
    <row r="1201" spans="1:2">
      <c r="A1201" t="s">
        <v>4258</v>
      </c>
      <c r="B1201" s="62">
        <v>164.28</v>
      </c>
    </row>
    <row r="1202" spans="1:2">
      <c r="A1202" t="s">
        <v>4259</v>
      </c>
      <c r="B1202" s="62">
        <v>250.17</v>
      </c>
    </row>
    <row r="1203" spans="1:2">
      <c r="A1203" t="s">
        <v>4260</v>
      </c>
      <c r="B1203" s="62">
        <v>54.94</v>
      </c>
    </row>
    <row r="1204" spans="1:2">
      <c r="A1204" t="s">
        <v>4261</v>
      </c>
      <c r="B1204" s="62">
        <v>54.56</v>
      </c>
    </row>
    <row r="1205" spans="1:2">
      <c r="A1205" t="s">
        <v>4262</v>
      </c>
      <c r="B1205" s="62">
        <v>54.94</v>
      </c>
    </row>
    <row r="1206" spans="1:2">
      <c r="A1206" t="s">
        <v>4263</v>
      </c>
      <c r="B1206" s="62">
        <v>229.25</v>
      </c>
    </row>
    <row r="1207" spans="1:2">
      <c r="A1207" t="s">
        <v>4264</v>
      </c>
      <c r="B1207" s="62">
        <v>306</v>
      </c>
    </row>
    <row r="1208" spans="1:2">
      <c r="A1208" t="s">
        <v>4265</v>
      </c>
      <c r="B1208" s="62">
        <v>3.9</v>
      </c>
    </row>
    <row r="1209" spans="1:2">
      <c r="A1209" t="s">
        <v>4266</v>
      </c>
      <c r="B1209" s="62">
        <v>1.63</v>
      </c>
    </row>
    <row r="1210" spans="1:2">
      <c r="A1210" t="s">
        <v>4267</v>
      </c>
      <c r="B1210" s="62">
        <v>1.63</v>
      </c>
    </row>
    <row r="1211" spans="1:2">
      <c r="A1211" t="s">
        <v>4268</v>
      </c>
      <c r="B1211" s="62">
        <v>1.63</v>
      </c>
    </row>
    <row r="1212" spans="1:2">
      <c r="A1212" t="s">
        <v>4269</v>
      </c>
      <c r="B1212" s="62">
        <v>422.79</v>
      </c>
    </row>
    <row r="1213" spans="1:2">
      <c r="A1213" t="s">
        <v>4270</v>
      </c>
      <c r="B1213" s="62">
        <v>54.01</v>
      </c>
    </row>
    <row r="1214" spans="1:2">
      <c r="A1214" t="s">
        <v>4271</v>
      </c>
      <c r="B1214" s="62">
        <v>46.16</v>
      </c>
    </row>
    <row r="1215" spans="1:2">
      <c r="A1215" t="s">
        <v>4272</v>
      </c>
      <c r="B1215" s="62">
        <v>816</v>
      </c>
    </row>
    <row r="1216" spans="1:2">
      <c r="A1216" t="s">
        <v>4273</v>
      </c>
      <c r="B1216" s="62">
        <v>239.4</v>
      </c>
    </row>
    <row r="1217" spans="1:2">
      <c r="A1217" t="s">
        <v>4274</v>
      </c>
      <c r="B1217" s="62">
        <v>158.84</v>
      </c>
    </row>
    <row r="1218" spans="1:2">
      <c r="A1218" t="s">
        <v>4275</v>
      </c>
      <c r="B1218" s="62">
        <v>24.82</v>
      </c>
    </row>
    <row r="1219" spans="1:2">
      <c r="A1219" t="s">
        <v>4276</v>
      </c>
      <c r="B1219" s="62">
        <v>119</v>
      </c>
    </row>
    <row r="1220" spans="1:2">
      <c r="A1220" t="s">
        <v>4277</v>
      </c>
      <c r="B1220" s="62">
        <v>195</v>
      </c>
    </row>
    <row r="1221" spans="1:2">
      <c r="A1221" t="s">
        <v>4278</v>
      </c>
      <c r="B1221" s="62">
        <v>1.18</v>
      </c>
    </row>
    <row r="1222" spans="1:2">
      <c r="A1222" t="s">
        <v>4279</v>
      </c>
      <c r="B1222" s="62">
        <v>1</v>
      </c>
    </row>
    <row r="1223" spans="1:2">
      <c r="A1223" t="s">
        <v>4280</v>
      </c>
      <c r="B1223" s="62">
        <v>0.5</v>
      </c>
    </row>
    <row r="1224" spans="1:2">
      <c r="A1224" t="s">
        <v>4281</v>
      </c>
      <c r="B1224" s="62">
        <v>4.08</v>
      </c>
    </row>
    <row r="1225" spans="1:2">
      <c r="A1225" t="s">
        <v>4282</v>
      </c>
      <c r="B1225" s="62">
        <v>2.52</v>
      </c>
    </row>
    <row r="1226" spans="1:2">
      <c r="A1226" t="s">
        <v>4283</v>
      </c>
      <c r="B1226" s="62">
        <v>4.62</v>
      </c>
    </row>
    <row r="1227" spans="1:2">
      <c r="A1227" t="s">
        <v>4284</v>
      </c>
      <c r="B1227" s="62">
        <v>4.62</v>
      </c>
    </row>
    <row r="1228" spans="1:2">
      <c r="A1228" t="s">
        <v>4285</v>
      </c>
      <c r="B1228" s="62">
        <v>15.51</v>
      </c>
    </row>
    <row r="1229" spans="1:2">
      <c r="A1229" t="s">
        <v>4286</v>
      </c>
      <c r="B1229" s="62">
        <v>23.24</v>
      </c>
    </row>
    <row r="1230" spans="1:2">
      <c r="A1230" t="s">
        <v>4287</v>
      </c>
      <c r="B1230" s="62">
        <v>54.12</v>
      </c>
    </row>
    <row r="1231" spans="1:2">
      <c r="A1231" t="s">
        <v>4288</v>
      </c>
      <c r="B1231" s="62">
        <v>7.25</v>
      </c>
    </row>
    <row r="1232" spans="1:2">
      <c r="A1232" t="s">
        <v>4289</v>
      </c>
      <c r="B1232" s="62">
        <v>16.16</v>
      </c>
    </row>
    <row r="1233" spans="1:2">
      <c r="A1233" t="s">
        <v>4290</v>
      </c>
      <c r="B1233" s="62">
        <v>10.74</v>
      </c>
    </row>
    <row r="1234" spans="1:2">
      <c r="A1234" t="s">
        <v>4291</v>
      </c>
      <c r="B1234" s="62">
        <v>20.22</v>
      </c>
    </row>
    <row r="1235" spans="1:2">
      <c r="A1235" t="s">
        <v>4292</v>
      </c>
      <c r="B1235" s="62">
        <v>202.08</v>
      </c>
    </row>
    <row r="1236" spans="1:2">
      <c r="A1236" t="s">
        <v>4293</v>
      </c>
      <c r="B1236" s="62">
        <v>7.25</v>
      </c>
    </row>
    <row r="1237" spans="1:2">
      <c r="A1237" t="s">
        <v>4294</v>
      </c>
      <c r="B1237" s="62">
        <v>46.68</v>
      </c>
    </row>
    <row r="1238" spans="1:2">
      <c r="A1238" t="s">
        <v>4295</v>
      </c>
      <c r="B1238" s="62">
        <v>94</v>
      </c>
    </row>
    <row r="1239" spans="1:2">
      <c r="A1239" t="s">
        <v>4296</v>
      </c>
      <c r="B1239" s="62">
        <v>7.51</v>
      </c>
    </row>
    <row r="1240" spans="1:2">
      <c r="A1240" t="s">
        <v>4297</v>
      </c>
      <c r="B1240" s="62">
        <v>54.12</v>
      </c>
    </row>
    <row r="1241" spans="1:2">
      <c r="A1241" t="s">
        <v>4298</v>
      </c>
      <c r="B1241" s="62">
        <v>7.25</v>
      </c>
    </row>
    <row r="1242" spans="1:2">
      <c r="A1242" t="s">
        <v>4299</v>
      </c>
      <c r="B1242" s="62">
        <v>13.56</v>
      </c>
    </row>
    <row r="1243" spans="1:2">
      <c r="A1243" t="s">
        <v>4300</v>
      </c>
      <c r="B1243" s="62">
        <v>12.08</v>
      </c>
    </row>
    <row r="1244" spans="1:2">
      <c r="A1244" t="s">
        <v>4301</v>
      </c>
      <c r="B1244" s="62">
        <v>90.01</v>
      </c>
    </row>
    <row r="1245" spans="1:2">
      <c r="A1245" t="s">
        <v>4302</v>
      </c>
      <c r="B1245" s="62">
        <v>17.399999999999999</v>
      </c>
    </row>
    <row r="1246" spans="1:2">
      <c r="A1246" t="s">
        <v>4303</v>
      </c>
      <c r="B1246" s="62">
        <v>61.14</v>
      </c>
    </row>
    <row r="1247" spans="1:2">
      <c r="A1247" t="s">
        <v>4304</v>
      </c>
      <c r="B1247" s="62">
        <v>7.54</v>
      </c>
    </row>
    <row r="1248" spans="1:2">
      <c r="A1248" t="s">
        <v>4305</v>
      </c>
      <c r="B1248" s="62">
        <v>150.94</v>
      </c>
    </row>
    <row r="1249" spans="1:2">
      <c r="A1249" t="s">
        <v>4306</v>
      </c>
      <c r="B1249" s="62">
        <v>17.399999999999999</v>
      </c>
    </row>
    <row r="1250" spans="1:2">
      <c r="A1250" t="s">
        <v>4307</v>
      </c>
      <c r="B1250" s="62">
        <v>18.100000000000001</v>
      </c>
    </row>
    <row r="1251" spans="1:2">
      <c r="A1251" t="s">
        <v>4308</v>
      </c>
      <c r="B1251" s="62">
        <v>50.71</v>
      </c>
    </row>
    <row r="1252" spans="1:2">
      <c r="A1252" t="s">
        <v>4309</v>
      </c>
      <c r="B1252" s="62">
        <v>34.619999999999997</v>
      </c>
    </row>
    <row r="1253" spans="1:2">
      <c r="A1253" t="s">
        <v>4310</v>
      </c>
      <c r="B1253" s="62">
        <v>21.24</v>
      </c>
    </row>
    <row r="1254" spans="1:2">
      <c r="A1254" t="s">
        <v>4311</v>
      </c>
      <c r="B1254" s="62">
        <v>69.010000000000005</v>
      </c>
    </row>
    <row r="1255" spans="1:2">
      <c r="A1255" t="s">
        <v>4312</v>
      </c>
      <c r="B1255" s="62">
        <v>51.82</v>
      </c>
    </row>
    <row r="1256" spans="1:2">
      <c r="A1256" t="s">
        <v>4313</v>
      </c>
      <c r="B1256" s="62">
        <v>10.49</v>
      </c>
    </row>
    <row r="1257" spans="1:2">
      <c r="A1257" t="s">
        <v>4314</v>
      </c>
      <c r="B1257" s="62">
        <v>167.14</v>
      </c>
    </row>
    <row r="1258" spans="1:2">
      <c r="A1258" t="s">
        <v>4315</v>
      </c>
      <c r="B1258" s="62">
        <v>13.06</v>
      </c>
    </row>
    <row r="1259" spans="1:2">
      <c r="A1259" t="s">
        <v>4316</v>
      </c>
      <c r="B1259" s="62">
        <v>117.04</v>
      </c>
    </row>
    <row r="1260" spans="1:2">
      <c r="A1260" t="s">
        <v>4317</v>
      </c>
      <c r="B1260" s="62">
        <v>67.92</v>
      </c>
    </row>
    <row r="1261" spans="1:2">
      <c r="A1261" t="s">
        <v>4318</v>
      </c>
      <c r="B1261" s="62">
        <v>83.35</v>
      </c>
    </row>
    <row r="1262" spans="1:2">
      <c r="A1262" t="s">
        <v>4319</v>
      </c>
      <c r="B1262" s="62">
        <v>6.9</v>
      </c>
    </row>
    <row r="1263" spans="1:2">
      <c r="A1263" t="s">
        <v>4320</v>
      </c>
      <c r="B1263" s="62">
        <v>7.52</v>
      </c>
    </row>
    <row r="1264" spans="1:2">
      <c r="A1264" t="s">
        <v>4321</v>
      </c>
      <c r="B1264" s="62">
        <v>58.46</v>
      </c>
    </row>
    <row r="1265" spans="1:2">
      <c r="A1265" t="s">
        <v>4322</v>
      </c>
      <c r="B1265" s="62">
        <v>1.68</v>
      </c>
    </row>
    <row r="1266" spans="1:2">
      <c r="A1266" t="s">
        <v>4323</v>
      </c>
      <c r="B1266" s="62">
        <v>279.48</v>
      </c>
    </row>
    <row r="1267" spans="1:2">
      <c r="A1267" t="s">
        <v>4324</v>
      </c>
      <c r="B1267" s="62">
        <v>279.48</v>
      </c>
    </row>
    <row r="1268" spans="1:2">
      <c r="A1268" t="s">
        <v>4325</v>
      </c>
      <c r="B1268" s="62">
        <v>815.56</v>
      </c>
    </row>
    <row r="1269" spans="1:2">
      <c r="A1269" t="s">
        <v>4326</v>
      </c>
      <c r="B1269" s="62">
        <v>181.56</v>
      </c>
    </row>
    <row r="1270" spans="1:2">
      <c r="A1270" t="s">
        <v>4327</v>
      </c>
      <c r="B1270" s="62">
        <v>6.46</v>
      </c>
    </row>
    <row r="1271" spans="1:2">
      <c r="A1271" t="s">
        <v>4328</v>
      </c>
      <c r="B1271" s="62">
        <v>87.53</v>
      </c>
    </row>
    <row r="1272" spans="1:2">
      <c r="A1272" t="s">
        <v>4329</v>
      </c>
      <c r="B1272" s="62">
        <v>163.5</v>
      </c>
    </row>
    <row r="1273" spans="1:2">
      <c r="A1273" t="s">
        <v>4330</v>
      </c>
      <c r="B1273" s="62">
        <v>149.08000000000001</v>
      </c>
    </row>
    <row r="1274" spans="1:2">
      <c r="A1274" t="s">
        <v>4331</v>
      </c>
      <c r="B1274" s="62">
        <v>119</v>
      </c>
    </row>
    <row r="1275" spans="1:2">
      <c r="A1275" t="s">
        <v>4332</v>
      </c>
      <c r="B1275" s="62">
        <v>117.02</v>
      </c>
    </row>
    <row r="1276" spans="1:2">
      <c r="A1276" t="s">
        <v>4333</v>
      </c>
      <c r="B1276" s="62">
        <v>5.78</v>
      </c>
    </row>
    <row r="1277" spans="1:2">
      <c r="A1277" t="s">
        <v>4334</v>
      </c>
      <c r="B1277" s="62">
        <v>572.41999999999996</v>
      </c>
    </row>
    <row r="1278" spans="1:2">
      <c r="A1278" t="s">
        <v>4335</v>
      </c>
      <c r="B1278" s="62">
        <v>2</v>
      </c>
    </row>
    <row r="1279" spans="1:2">
      <c r="A1279" t="s">
        <v>4336</v>
      </c>
      <c r="B1279" s="62">
        <v>595.66999999999996</v>
      </c>
    </row>
    <row r="1280" spans="1:2">
      <c r="A1280" t="s">
        <v>4337</v>
      </c>
      <c r="B1280" s="62">
        <v>625.30999999999995</v>
      </c>
    </row>
    <row r="1281" spans="1:2">
      <c r="A1281" t="s">
        <v>4338</v>
      </c>
      <c r="B1281" s="62">
        <v>1056.53</v>
      </c>
    </row>
    <row r="1282" spans="1:2">
      <c r="A1282" t="s">
        <v>4339</v>
      </c>
      <c r="B1282" s="62">
        <v>1612.12</v>
      </c>
    </row>
    <row r="1283" spans="1:2">
      <c r="A1283" t="s">
        <v>4340</v>
      </c>
      <c r="B1283" s="62">
        <v>47.78</v>
      </c>
    </row>
    <row r="1284" spans="1:2">
      <c r="A1284" t="s">
        <v>4341</v>
      </c>
      <c r="B1284" s="62">
        <v>30.62</v>
      </c>
    </row>
    <row r="1285" spans="1:2">
      <c r="A1285" t="s">
        <v>4342</v>
      </c>
      <c r="B1285" s="62">
        <v>609.54</v>
      </c>
    </row>
    <row r="1286" spans="1:2">
      <c r="A1286" t="s">
        <v>4343</v>
      </c>
      <c r="B1286" s="62">
        <v>374.68</v>
      </c>
    </row>
    <row r="1287" spans="1:2">
      <c r="A1287" t="s">
        <v>4344</v>
      </c>
      <c r="B1287" s="62">
        <v>185.24</v>
      </c>
    </row>
    <row r="1288" spans="1:2">
      <c r="A1288" t="s">
        <v>4345</v>
      </c>
      <c r="B1288" s="62">
        <v>91.45</v>
      </c>
    </row>
    <row r="1289" spans="1:2">
      <c r="A1289" t="s">
        <v>4346</v>
      </c>
      <c r="B1289" s="62">
        <v>959.11</v>
      </c>
    </row>
    <row r="1290" spans="1:2">
      <c r="A1290" t="s">
        <v>4347</v>
      </c>
      <c r="B1290" s="62">
        <v>1072.9000000000001</v>
      </c>
    </row>
    <row r="1291" spans="1:2">
      <c r="A1291" t="s">
        <v>4348</v>
      </c>
      <c r="B1291" s="62">
        <v>136.54</v>
      </c>
    </row>
    <row r="1292" spans="1:2">
      <c r="A1292" t="s">
        <v>4349</v>
      </c>
      <c r="B1292" s="62">
        <v>81</v>
      </c>
    </row>
    <row r="1293" spans="1:2">
      <c r="A1293" t="s">
        <v>4350</v>
      </c>
      <c r="B1293" s="62">
        <v>234</v>
      </c>
    </row>
    <row r="1294" spans="1:2">
      <c r="A1294" t="s">
        <v>4351</v>
      </c>
      <c r="B1294" s="62">
        <v>800</v>
      </c>
    </row>
    <row r="1295" spans="1:2">
      <c r="A1295" t="s">
        <v>4352</v>
      </c>
      <c r="B1295" s="62">
        <v>698.19</v>
      </c>
    </row>
    <row r="1296" spans="1:2">
      <c r="A1296" t="s">
        <v>4353</v>
      </c>
      <c r="B1296" s="62">
        <v>281.47000000000003</v>
      </c>
    </row>
    <row r="1297" spans="1:2">
      <c r="A1297" t="s">
        <v>4354</v>
      </c>
      <c r="B1297" s="62">
        <v>296.20999999999998</v>
      </c>
    </row>
    <row r="1298" spans="1:2">
      <c r="A1298" t="s">
        <v>4355</v>
      </c>
      <c r="B1298" s="62">
        <v>195.76</v>
      </c>
    </row>
    <row r="1299" spans="1:2">
      <c r="A1299" t="s">
        <v>4356</v>
      </c>
      <c r="B1299" s="62">
        <v>157.21</v>
      </c>
    </row>
    <row r="1300" spans="1:2">
      <c r="A1300" t="s">
        <v>4357</v>
      </c>
      <c r="B1300" s="62">
        <v>984.21</v>
      </c>
    </row>
    <row r="1301" spans="1:2">
      <c r="A1301" t="s">
        <v>4358</v>
      </c>
      <c r="B1301" s="62">
        <v>290.22000000000003</v>
      </c>
    </row>
    <row r="1302" spans="1:2">
      <c r="A1302" t="s">
        <v>4359</v>
      </c>
      <c r="B1302" s="62">
        <v>404.16</v>
      </c>
    </row>
    <row r="1303" spans="1:2">
      <c r="A1303" t="s">
        <v>4360</v>
      </c>
      <c r="B1303" s="62">
        <v>815.56</v>
      </c>
    </row>
    <row r="1304" spans="1:2">
      <c r="A1304" t="s">
        <v>4361</v>
      </c>
      <c r="B1304" s="62">
        <v>720</v>
      </c>
    </row>
    <row r="1305" spans="1:2">
      <c r="A1305" t="s">
        <v>4362</v>
      </c>
      <c r="B1305" s="62">
        <v>221.4</v>
      </c>
    </row>
    <row r="1306" spans="1:2">
      <c r="A1306" t="s">
        <v>4363</v>
      </c>
      <c r="B1306" s="62">
        <v>665.28</v>
      </c>
    </row>
    <row r="1307" spans="1:2">
      <c r="A1307" t="s">
        <v>4364</v>
      </c>
      <c r="B1307" s="62">
        <v>128.34</v>
      </c>
    </row>
    <row r="1308" spans="1:2">
      <c r="A1308" t="s">
        <v>4365</v>
      </c>
      <c r="B1308" s="62">
        <v>184.99</v>
      </c>
    </row>
    <row r="1309" spans="1:2">
      <c r="A1309" t="s">
        <v>4366</v>
      </c>
      <c r="B1309" s="62">
        <v>712.38</v>
      </c>
    </row>
    <row r="1310" spans="1:2">
      <c r="A1310" t="s">
        <v>4367</v>
      </c>
      <c r="B1310" s="62">
        <v>651.96</v>
      </c>
    </row>
    <row r="1311" spans="1:2">
      <c r="A1311" t="s">
        <v>4368</v>
      </c>
      <c r="B1311" s="62">
        <v>807.84</v>
      </c>
    </row>
    <row r="1312" spans="1:2">
      <c r="A1312" t="s">
        <v>4369</v>
      </c>
      <c r="B1312" s="62">
        <v>399.6</v>
      </c>
    </row>
    <row r="1313" spans="1:2">
      <c r="A1313" t="s">
        <v>4370</v>
      </c>
      <c r="B1313" s="62">
        <v>321.3</v>
      </c>
    </row>
    <row r="1314" spans="1:2">
      <c r="A1314" t="s">
        <v>4371</v>
      </c>
      <c r="B1314" s="62">
        <v>501.58</v>
      </c>
    </row>
    <row r="1315" spans="1:2">
      <c r="A1315" t="s">
        <v>4372</v>
      </c>
      <c r="B1315" s="62">
        <v>1175.04</v>
      </c>
    </row>
    <row r="1316" spans="1:2">
      <c r="A1316" t="s">
        <v>4373</v>
      </c>
      <c r="B1316" s="62">
        <v>1472.52</v>
      </c>
    </row>
    <row r="1317" spans="1:2">
      <c r="A1317" t="s">
        <v>4374</v>
      </c>
      <c r="B1317" s="62">
        <v>212.4</v>
      </c>
    </row>
    <row r="1318" spans="1:2">
      <c r="A1318" t="s">
        <v>4375</v>
      </c>
      <c r="B1318" s="62">
        <v>458.35</v>
      </c>
    </row>
    <row r="1319" spans="1:2">
      <c r="A1319" t="s">
        <v>4376</v>
      </c>
      <c r="B1319" s="62">
        <v>2927.4</v>
      </c>
    </row>
    <row r="1320" spans="1:2">
      <c r="A1320" t="s">
        <v>4377</v>
      </c>
      <c r="B1320" s="62">
        <v>33.39</v>
      </c>
    </row>
    <row r="1321" spans="1:2">
      <c r="A1321" t="s">
        <v>4378</v>
      </c>
      <c r="B1321" s="62">
        <v>9.77</v>
      </c>
    </row>
    <row r="1322" spans="1:2">
      <c r="A1322" t="s">
        <v>4379</v>
      </c>
      <c r="B1322" s="62">
        <v>17.47</v>
      </c>
    </row>
    <row r="1323" spans="1:2">
      <c r="A1323" t="s">
        <v>4380</v>
      </c>
      <c r="B1323" s="62">
        <v>92.98</v>
      </c>
    </row>
    <row r="1324" spans="1:2">
      <c r="A1324" t="s">
        <v>4381</v>
      </c>
      <c r="B1324" s="62">
        <v>606.85</v>
      </c>
    </row>
    <row r="1325" spans="1:2">
      <c r="A1325" t="s">
        <v>4382</v>
      </c>
      <c r="B1325" s="62">
        <v>763.92</v>
      </c>
    </row>
    <row r="1326" spans="1:2">
      <c r="A1326" t="s">
        <v>4383</v>
      </c>
      <c r="B1326" s="62">
        <v>259.2</v>
      </c>
    </row>
    <row r="1327" spans="1:2">
      <c r="A1327" t="s">
        <v>4384</v>
      </c>
      <c r="B1327" s="62">
        <v>129.21</v>
      </c>
    </row>
    <row r="1328" spans="1:2">
      <c r="A1328" t="s">
        <v>4385</v>
      </c>
      <c r="B1328" s="62">
        <v>359.71</v>
      </c>
    </row>
    <row r="1329" spans="1:2">
      <c r="A1329" t="s">
        <v>4386</v>
      </c>
      <c r="B1329" s="62">
        <v>315.35000000000002</v>
      </c>
    </row>
    <row r="1330" spans="1:2">
      <c r="A1330" t="s">
        <v>4387</v>
      </c>
      <c r="B1330" s="62">
        <v>252.09</v>
      </c>
    </row>
    <row r="1331" spans="1:2">
      <c r="A1331" t="s">
        <v>4388</v>
      </c>
      <c r="B1331" s="62">
        <v>464.4</v>
      </c>
    </row>
    <row r="1332" spans="1:2">
      <c r="A1332" t="s">
        <v>4389</v>
      </c>
      <c r="B1332" s="62">
        <v>558.45000000000005</v>
      </c>
    </row>
    <row r="1333" spans="1:2">
      <c r="A1333" t="s">
        <v>4390</v>
      </c>
      <c r="B1333" s="62">
        <v>533.95000000000005</v>
      </c>
    </row>
    <row r="1334" spans="1:2">
      <c r="A1334" t="s">
        <v>4391</v>
      </c>
      <c r="B1334" s="62">
        <v>296.48</v>
      </c>
    </row>
    <row r="1335" spans="1:2">
      <c r="A1335" t="s">
        <v>4392</v>
      </c>
      <c r="B1335" s="62">
        <v>215</v>
      </c>
    </row>
    <row r="1336" spans="1:2">
      <c r="A1336" t="s">
        <v>4393</v>
      </c>
      <c r="B1336" s="62">
        <v>221.58</v>
      </c>
    </row>
    <row r="1337" spans="1:2">
      <c r="A1337" t="s">
        <v>4394</v>
      </c>
      <c r="B1337" s="62">
        <v>212.85</v>
      </c>
    </row>
    <row r="1338" spans="1:2">
      <c r="A1338" t="s">
        <v>4395</v>
      </c>
      <c r="B1338" s="62">
        <v>320</v>
      </c>
    </row>
    <row r="1339" spans="1:2">
      <c r="A1339" t="s">
        <v>4396</v>
      </c>
      <c r="B1339" s="62">
        <v>1123.75</v>
      </c>
    </row>
    <row r="1340" spans="1:2">
      <c r="A1340" t="s">
        <v>4397</v>
      </c>
      <c r="B1340" s="62">
        <v>2167.36</v>
      </c>
    </row>
    <row r="1341" spans="1:2">
      <c r="A1341" t="s">
        <v>4398</v>
      </c>
      <c r="B1341" s="62">
        <v>1068.05</v>
      </c>
    </row>
    <row r="1342" spans="1:2">
      <c r="A1342" t="s">
        <v>4399</v>
      </c>
      <c r="B1342" s="62">
        <v>1805.26</v>
      </c>
    </row>
    <row r="1343" spans="1:2">
      <c r="A1343" t="s">
        <v>4400</v>
      </c>
      <c r="B1343" s="62">
        <v>1805.26</v>
      </c>
    </row>
    <row r="1344" spans="1:2">
      <c r="A1344" t="s">
        <v>4401</v>
      </c>
      <c r="B1344" s="62">
        <v>1740.61</v>
      </c>
    </row>
    <row r="1345" spans="1:2">
      <c r="A1345" t="s">
        <v>4402</v>
      </c>
      <c r="B1345" s="62">
        <v>261.61</v>
      </c>
    </row>
    <row r="1346" spans="1:2">
      <c r="A1346" t="s">
        <v>4403</v>
      </c>
      <c r="B1346" s="62">
        <v>154.72999999999999</v>
      </c>
    </row>
    <row r="1347" spans="1:2">
      <c r="A1347" t="s">
        <v>4404</v>
      </c>
      <c r="B1347" s="62">
        <v>173.4</v>
      </c>
    </row>
    <row r="1348" spans="1:2">
      <c r="A1348" t="s">
        <v>4405</v>
      </c>
      <c r="B1348" s="62">
        <v>331.58</v>
      </c>
    </row>
    <row r="1349" spans="1:2">
      <c r="A1349" t="s">
        <v>4406</v>
      </c>
      <c r="B1349" s="62">
        <v>1188</v>
      </c>
    </row>
    <row r="1350" spans="1:2">
      <c r="A1350" t="s">
        <v>4407</v>
      </c>
      <c r="B1350" s="62">
        <v>848.88</v>
      </c>
    </row>
    <row r="1351" spans="1:2">
      <c r="A1351" t="s">
        <v>4408</v>
      </c>
      <c r="B1351" s="62">
        <v>221.4</v>
      </c>
    </row>
    <row r="1352" spans="1:2">
      <c r="A1352" t="s">
        <v>4409</v>
      </c>
      <c r="B1352" s="62">
        <v>543.70000000000005</v>
      </c>
    </row>
    <row r="1353" spans="1:2">
      <c r="A1353" t="s">
        <v>4410</v>
      </c>
      <c r="B1353" s="62">
        <v>3384.72</v>
      </c>
    </row>
    <row r="1354" spans="1:2">
      <c r="A1354" t="s">
        <v>4411</v>
      </c>
      <c r="B1354" s="62">
        <v>340.65</v>
      </c>
    </row>
    <row r="1355" spans="1:2">
      <c r="A1355" t="s">
        <v>4412</v>
      </c>
      <c r="B1355" s="62">
        <v>160.13999999999999</v>
      </c>
    </row>
    <row r="1356" spans="1:2">
      <c r="A1356" s="59" t="s">
        <v>4413</v>
      </c>
      <c r="B1356" s="62">
        <v>614.45000000000005</v>
      </c>
    </row>
    <row r="1357" spans="1:2">
      <c r="A1357" t="s">
        <v>4414</v>
      </c>
      <c r="B1357" s="62">
        <v>191.16</v>
      </c>
    </row>
    <row r="1358" spans="1:2">
      <c r="A1358" t="s">
        <v>4415</v>
      </c>
      <c r="B1358" s="62">
        <v>150.12</v>
      </c>
    </row>
    <row r="1359" spans="1:2">
      <c r="A1359" t="s">
        <v>4416</v>
      </c>
      <c r="B1359" s="62">
        <v>145.05000000000001</v>
      </c>
    </row>
    <row r="1360" spans="1:2">
      <c r="A1360" t="s">
        <v>4417</v>
      </c>
      <c r="B1360" s="62">
        <v>313.2</v>
      </c>
    </row>
    <row r="1361" spans="1:2">
      <c r="A1361" t="s">
        <v>4418</v>
      </c>
      <c r="B1361" s="62">
        <v>535.84</v>
      </c>
    </row>
    <row r="1362" spans="1:2">
      <c r="A1362" t="s">
        <v>4419</v>
      </c>
      <c r="B1362" s="62">
        <v>380.3</v>
      </c>
    </row>
    <row r="1363" spans="1:2">
      <c r="A1363" t="s">
        <v>4420</v>
      </c>
      <c r="B1363" s="62">
        <v>261.61</v>
      </c>
    </row>
    <row r="1364" spans="1:2">
      <c r="A1364" t="s">
        <v>4421</v>
      </c>
      <c r="B1364" s="62">
        <v>10.38</v>
      </c>
    </row>
    <row r="1365" spans="1:2">
      <c r="A1365" t="s">
        <v>4422</v>
      </c>
      <c r="B1365" s="62">
        <v>238.56</v>
      </c>
    </row>
    <row r="1366" spans="1:2">
      <c r="A1366" t="s">
        <v>4423</v>
      </c>
      <c r="B1366" s="62">
        <v>188.2</v>
      </c>
    </row>
    <row r="1367" spans="1:2">
      <c r="A1367" t="s">
        <v>4424</v>
      </c>
      <c r="B1367" s="62">
        <v>31.8</v>
      </c>
    </row>
    <row r="1368" spans="1:2">
      <c r="A1368" s="59" t="s">
        <v>4425</v>
      </c>
      <c r="B1368" s="62"/>
    </row>
  </sheetData>
  <dataValidations count="1">
    <dataValidation type="list" allowBlank="1" showInputMessage="1" showErrorMessage="1" errorTitle="Error " error="Choose the Correct Part #" promptTitle="Parts" prompt="Click a part number" sqref="A1:A1368" xr:uid="{5FDFF7CA-40E5-344B-A61C-ABDBDA140376}">
      <formula1>PARTS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8A4D-3C4E-2043-B7FE-A75A1FAC54B2}">
  <dimension ref="A1:C11"/>
  <sheetViews>
    <sheetView workbookViewId="0">
      <selection activeCell="B4" sqref="B4"/>
    </sheetView>
  </sheetViews>
  <sheetFormatPr baseColWidth="10" defaultRowHeight="13"/>
  <cols>
    <col min="1" max="1" width="23.33203125" customWidth="1"/>
    <col min="2" max="2" width="48.33203125" customWidth="1"/>
  </cols>
  <sheetData>
    <row r="1" spans="1:3">
      <c r="A1" s="66" t="s">
        <v>398</v>
      </c>
      <c r="B1" s="66" t="s">
        <v>21</v>
      </c>
      <c r="C1" s="67" t="s">
        <v>9</v>
      </c>
    </row>
    <row r="2" spans="1:3">
      <c r="A2" s="68" t="s">
        <v>10</v>
      </c>
      <c r="B2" s="68" t="s">
        <v>4429</v>
      </c>
      <c r="C2" s="69">
        <v>725</v>
      </c>
    </row>
    <row r="3" spans="1:3">
      <c r="A3" s="68" t="s">
        <v>4430</v>
      </c>
      <c r="B3" s="68" t="s">
        <v>4431</v>
      </c>
      <c r="C3" s="69">
        <v>775</v>
      </c>
    </row>
    <row r="4" spans="1:3">
      <c r="A4" s="68" t="s">
        <v>11</v>
      </c>
      <c r="B4" s="68" t="s">
        <v>399</v>
      </c>
      <c r="C4" s="69">
        <v>195</v>
      </c>
    </row>
    <row r="5" spans="1:3">
      <c r="A5" s="68" t="s">
        <v>400</v>
      </c>
      <c r="B5" s="68" t="s">
        <v>401</v>
      </c>
      <c r="C5" s="69">
        <v>890</v>
      </c>
    </row>
    <row r="6" spans="1:3">
      <c r="A6" s="68" t="s">
        <v>12</v>
      </c>
      <c r="B6" s="68" t="s">
        <v>402</v>
      </c>
      <c r="C6" s="69">
        <v>90</v>
      </c>
    </row>
    <row r="7" spans="1:3">
      <c r="A7" s="68" t="s">
        <v>4432</v>
      </c>
      <c r="B7" s="68" t="s">
        <v>4433</v>
      </c>
      <c r="C7" s="69">
        <v>250</v>
      </c>
    </row>
    <row r="8" spans="1:3">
      <c r="A8" s="68" t="s">
        <v>4434</v>
      </c>
      <c r="B8" s="68" t="s">
        <v>4435</v>
      </c>
      <c r="C8" s="69">
        <v>75</v>
      </c>
    </row>
    <row r="9" spans="1:3">
      <c r="A9" s="68" t="s">
        <v>403</v>
      </c>
      <c r="B9" s="68" t="s">
        <v>404</v>
      </c>
      <c r="C9" s="69">
        <v>225</v>
      </c>
    </row>
    <row r="10" spans="1:3">
      <c r="A10" s="68" t="s">
        <v>405</v>
      </c>
      <c r="B10" s="68" t="s">
        <v>406</v>
      </c>
      <c r="C10" s="69">
        <v>175</v>
      </c>
    </row>
    <row r="11" spans="1:3">
      <c r="A11" s="68" t="s">
        <v>407</v>
      </c>
      <c r="B11" s="68" t="s">
        <v>408</v>
      </c>
      <c r="C11" s="69">
        <v>225</v>
      </c>
    </row>
  </sheetData>
  <dataValidations count="2">
    <dataValidation type="list" allowBlank="1" showInputMessage="1" showErrorMessage="1" promptTitle="EQUIPMENT" prompt="SELECT EQUIPMENT USED" sqref="A1" xr:uid="{6F562272-28F7-1944-B325-E4465CDAC2B5}">
      <formula1>$A$1:$A$11</formula1>
    </dataValidation>
    <dataValidation type="list" allowBlank="1" showInputMessage="1" showErrorMessage="1" promptTitle="EQUIP" prompt="SELECT EQUIPMENT USED" sqref="A2:A12" xr:uid="{595274A8-C3A2-BE47-92AB-4BA67378ED66}">
      <formula1>$A$1:$A$11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HEADER LABOR AND MATERIAL</vt:lpstr>
      <vt:lpstr>PARTS</vt:lpstr>
      <vt:lpstr>RPS PARTS</vt:lpstr>
      <vt:lpstr>EQUIP</vt:lpstr>
      <vt:lpstr>EQUIPMENT</vt:lpstr>
      <vt:lpstr>PARTS</vt:lpstr>
      <vt:lpstr>PARTSCOST</vt:lpstr>
      <vt:lpstr>RPSPARTS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Trae Dodson</cp:lastModifiedBy>
  <dcterms:created xsi:type="dcterms:W3CDTF">2020-12-08T21:28:34Z</dcterms:created>
  <dcterms:modified xsi:type="dcterms:W3CDTF">2022-08-16T14:13:15Z</dcterms:modified>
  <cp:category/>
</cp:coreProperties>
</file>