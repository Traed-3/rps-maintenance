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/>
  <mc:AlternateContent xmlns:mc="http://schemas.openxmlformats.org/markup-compatibility/2006">
    <mc:Choice Requires="x15">
      <x15ac:absPath xmlns:x15ac="http://schemas.microsoft.com/office/spreadsheetml/2010/11/ac" url="/Users/traedodson/Dropbox (RP)/Construction projects (Team)/Current Projects - Vixxo and SEI/PROJECT FORUM/Major Construction - Paul Encinas/20412 2020 Dispenser Replacement/"/>
    </mc:Choice>
  </mc:AlternateContent>
  <xr:revisionPtr revIDLastSave="0" documentId="8_{7836E788-9F52-FA4F-A472-339BAE35F082}" xr6:coauthVersionLast="46" xr6:coauthVersionMax="46" xr10:uidLastSave="{00000000-0000-0000-0000-000000000000}"/>
  <bookViews>
    <workbookView xWindow="6180" yWindow="500" windowWidth="24820" windowHeight="17500"/>
  </bookViews>
  <sheets>
    <sheet name="Capital Proposal" sheetId="2" r:id="rId1"/>
    <sheet name="Sheet1" sheetId="3" r:id="rId2"/>
  </sheets>
  <definedNames>
    <definedName name="_xlnm._FilterDatabase" localSheetId="0" hidden="1">'Capital Proposal'!$C$23:$N$60</definedName>
    <definedName name="_xlnm.Print_Area" localSheetId="0">'Capital Proposal'!$B$2:$N$71</definedName>
  </definedNames>
  <calcPr calcId="191029" concurrentCalc="0"/>
</workbook>
</file>

<file path=xl/calcChain.xml><?xml version="1.0" encoding="utf-8"?>
<calcChain xmlns="http://schemas.openxmlformats.org/spreadsheetml/2006/main">
  <c r="M42" i="2" l="1"/>
  <c r="M41" i="2"/>
  <c r="M39" i="2"/>
  <c r="L35" i="2"/>
  <c r="L34" i="2"/>
  <c r="L33" i="2"/>
  <c r="M34" i="2"/>
  <c r="L40" i="2"/>
  <c r="M40" i="2"/>
  <c r="M35" i="2"/>
  <c r="L36" i="2"/>
  <c r="M36" i="2"/>
  <c r="L37" i="2"/>
  <c r="M37" i="2"/>
  <c r="L38" i="2"/>
  <c r="M38" i="2"/>
  <c r="L32" i="2"/>
  <c r="M32" i="2"/>
  <c r="M33" i="2"/>
  <c r="M43" i="2"/>
  <c r="L25" i="2"/>
  <c r="M25" i="2"/>
  <c r="L26" i="2"/>
  <c r="M26" i="2"/>
  <c r="L27" i="2"/>
  <c r="M27" i="2"/>
  <c r="L28" i="2"/>
  <c r="M28" i="2"/>
  <c r="M30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M57" i="2"/>
  <c r="L44" i="2"/>
  <c r="I44" i="2"/>
  <c r="M59" i="2"/>
  <c r="L29" i="2"/>
  <c r="I56" i="2"/>
  <c r="I29" i="2"/>
  <c r="L56" i="2"/>
  <c r="M45" i="2"/>
  <c r="M58" i="2"/>
  <c r="M60" i="2"/>
</calcChain>
</file>

<file path=xl/sharedStrings.xml><?xml version="1.0" encoding="utf-8"?>
<sst xmlns="http://schemas.openxmlformats.org/spreadsheetml/2006/main" count="71" uniqueCount="56">
  <si>
    <t>LABOR RATE</t>
  </si>
  <si>
    <t>TOTAL LABOR</t>
  </si>
  <si>
    <t>MATERIAL</t>
  </si>
  <si>
    <t>LABOR HOURS</t>
  </si>
  <si>
    <t>PROJECT DESCRIPTION:</t>
  </si>
  <si>
    <t>PROPOSAL DATE:</t>
  </si>
  <si>
    <t>LOCATION:</t>
  </si>
  <si>
    <t>ATTN:</t>
  </si>
  <si>
    <t xml:space="preserve">CSR # </t>
  </si>
  <si>
    <t>Sub Total Material:</t>
  </si>
  <si>
    <t>Sub Total Labor:</t>
  </si>
  <si>
    <t>REMOVAL AND DISPOSAL</t>
  </si>
  <si>
    <t>BASIC INSTALLATION</t>
  </si>
  <si>
    <t xml:space="preserve">CUSTOMER:          </t>
  </si>
  <si>
    <t>DATE</t>
  </si>
  <si>
    <t>TOTAL MATERIAL &amp; LABOR</t>
  </si>
  <si>
    <t>REMOVAL AND DISPOSAL TOTAL:</t>
  </si>
  <si>
    <t>ADDITIONAL SCOPE OF WORK</t>
  </si>
  <si>
    <t>ADDITIONAL SCOPE OF WORK TOTAL:</t>
  </si>
  <si>
    <t>PROPOSAL GRAND TOTAL:</t>
  </si>
  <si>
    <t>CITY,ST,ZIP</t>
  </si>
  <si>
    <t>ADDRESS</t>
  </si>
  <si>
    <t>STORE</t>
  </si>
  <si>
    <t>PROFIT AND OVERHEAD PERCENT</t>
  </si>
  <si>
    <t>SALES TAX PERCENT (MATERIAL ONLY)</t>
  </si>
  <si>
    <t>Work warranty 1 year.</t>
  </si>
  <si>
    <t xml:space="preserve">Address </t>
  </si>
  <si>
    <t>Fred W. Dodson III (Trae)</t>
  </si>
  <si>
    <t xml:space="preserve"> </t>
  </si>
  <si>
    <t xml:space="preserve">      </t>
  </si>
  <si>
    <t xml:space="preserve">          </t>
  </si>
  <si>
    <t>Construction Manager</t>
  </si>
  <si>
    <t>Updated 01/25/2017</t>
  </si>
  <si>
    <t xml:space="preserve">Labor </t>
  </si>
  <si>
    <t xml:space="preserve">7-Eleven Inc. - Environmental </t>
  </si>
  <si>
    <t>7-Eleven Inc. - Project Management Team</t>
  </si>
  <si>
    <t>Misc-Disposables/Acetone/Sorbs/Threading Oil/ETC</t>
  </si>
  <si>
    <t>s</t>
  </si>
  <si>
    <t>Electrical / Mechanical Permit(s)</t>
  </si>
  <si>
    <t>* Price does not include repairs needed as a response to EDH survey *</t>
  </si>
  <si>
    <t>Paul Encinas / Brett Davenport</t>
  </si>
  <si>
    <t>Veeder Root</t>
  </si>
  <si>
    <t>589 per rool</t>
  </si>
  <si>
    <t>x3</t>
  </si>
  <si>
    <t>x20%</t>
  </si>
  <si>
    <t>est 2500 feet</t>
  </si>
  <si>
    <t>Electrical Explosion Proof Fittings/Conduits/Electrical Wire</t>
  </si>
  <si>
    <t>DOT Barrels/Water from sump clean</t>
  </si>
  <si>
    <t>Equipment / Skid Steer / Mini X / Construction Truck / Threader</t>
  </si>
  <si>
    <t xml:space="preserve">Disposal Fee </t>
  </si>
  <si>
    <t xml:space="preserve">ATT: Suzanne Schweikart </t>
  </si>
  <si>
    <t>7 Eleven # 20412</t>
  </si>
  <si>
    <t>4075 Sudley Rd</t>
  </si>
  <si>
    <t>Haymarket, VA</t>
  </si>
  <si>
    <t>Load and deliver and install (6) Gilbarco E700 dispensers.  Remove existing dispensers.</t>
  </si>
  <si>
    <t>Hard Piping/Fittings - (UDC)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</si>
</sst>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3">
    <font>
      <sz val="10"/>
      <name val="Arial"/>
    </font>
    <font>
      <sz val="8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badi MT Condensed Extra Bold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Garamond"/>
      <family val="1"/>
    </font>
    <font>
      <b/>
      <sz val="9"/>
      <color theme="1"/>
      <name val="Arial"/>
      <family val="2"/>
    </font>
    <font>
      <sz val="14"/>
      <color theme="1"/>
      <name val="Helvetica Light Oblique"/>
    </font>
    <font>
      <b/>
      <i/>
      <sz val="14"/>
      <color theme="1"/>
      <name val="Lucida Calligraphy Italic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0" fontId="2" fillId="2" borderId="0" xfId="0" applyFont="1" applyFill="1" applyBorder="1" applyProtection="1">
      <protection locked="0"/>
    </xf>
    <xf numFmtId="0" fontId="2" fillId="2" borderId="5" xfId="0" applyFont="1" applyFill="1" applyBorder="1" applyProtection="1">
      <protection locked="0"/>
    </xf>
    <xf numFmtId="0" fontId="3" fillId="2" borderId="0" xfId="0" applyFont="1" applyFill="1" applyBorder="1" applyAlignment="1" applyProtection="1">
      <alignment horizontal="center" vertical="top"/>
      <protection locked="0"/>
    </xf>
    <xf numFmtId="0" fontId="2" fillId="2" borderId="0" xfId="0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14" fontId="4" fillId="2" borderId="6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 applyProtection="1">
      <protection locked="0"/>
    </xf>
    <xf numFmtId="14" fontId="4" fillId="2" borderId="5" xfId="0" applyNumberFormat="1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right"/>
      <protection locked="0"/>
    </xf>
    <xf numFmtId="0" fontId="6" fillId="2" borderId="4" xfId="0" applyFont="1" applyFill="1" applyBorder="1" applyProtection="1">
      <protection locked="0"/>
    </xf>
    <xf numFmtId="0" fontId="7" fillId="2" borderId="0" xfId="0" applyFont="1" applyFill="1" applyBorder="1" applyAlignment="1" applyProtection="1">
      <alignment horizontal="center" vertical="top"/>
      <protection locked="0"/>
    </xf>
    <xf numFmtId="0" fontId="6" fillId="2" borderId="0" xfId="0" applyFont="1" applyFill="1" applyBorder="1" applyAlignment="1" applyProtection="1">
      <protection locked="0"/>
    </xf>
    <xf numFmtId="0" fontId="6" fillId="2" borderId="0" xfId="0" applyFont="1" applyFill="1" applyBorder="1" applyProtection="1">
      <protection locked="0"/>
    </xf>
    <xf numFmtId="0" fontId="7" fillId="2" borderId="0" xfId="0" applyFont="1" applyFill="1" applyBorder="1" applyAlignment="1" applyProtection="1"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44" fontId="4" fillId="0" borderId="9" xfId="0" applyNumberFormat="1" applyFont="1" applyBorder="1" applyAlignment="1" applyProtection="1">
      <alignment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44" fontId="4" fillId="0" borderId="10" xfId="0" applyNumberFormat="1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44" fontId="4" fillId="0" borderId="12" xfId="0" applyNumberFormat="1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44" fontId="4" fillId="0" borderId="13" xfId="0" applyNumberFormat="1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44" fontId="4" fillId="0" borderId="15" xfId="0" applyNumberFormat="1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44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2" fillId="0" borderId="0" xfId="0" applyFont="1" applyFill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4" fontId="4" fillId="2" borderId="0" xfId="0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vertical="top" wrapText="1"/>
      <protection locked="0"/>
    </xf>
    <xf numFmtId="0" fontId="2" fillId="2" borderId="18" xfId="0" applyFont="1" applyFill="1" applyBorder="1" applyProtection="1">
      <protection locked="0"/>
    </xf>
    <xf numFmtId="0" fontId="2" fillId="2" borderId="6" xfId="0" applyFont="1" applyFill="1" applyBorder="1" applyProtection="1">
      <protection locked="0"/>
    </xf>
    <xf numFmtId="0" fontId="2" fillId="2" borderId="19" xfId="0" applyFont="1" applyFill="1" applyBorder="1" applyProtection="1">
      <protection locked="0"/>
    </xf>
    <xf numFmtId="44" fontId="4" fillId="0" borderId="9" xfId="0" applyNumberFormat="1" applyFont="1" applyFill="1" applyBorder="1" applyAlignment="1" applyProtection="1">
      <alignment vertical="center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44" fontId="4" fillId="0" borderId="10" xfId="0" applyNumberFormat="1" applyFont="1" applyFill="1" applyBorder="1" applyAlignment="1" applyProtection="1">
      <alignment horizontal="center" vertical="center"/>
      <protection locked="0"/>
    </xf>
    <xf numFmtId="44" fontId="4" fillId="0" borderId="12" xfId="0" applyNumberFormat="1" applyFont="1" applyFill="1" applyBorder="1" applyAlignment="1" applyProtection="1">
      <alignment vertical="center"/>
      <protection locked="0"/>
    </xf>
    <xf numFmtId="0" fontId="4" fillId="0" borderId="13" xfId="0" applyFont="1" applyFill="1" applyBorder="1" applyAlignment="1" applyProtection="1">
      <alignment horizontal="center" vertical="center"/>
      <protection locked="0"/>
    </xf>
    <xf numFmtId="44" fontId="4" fillId="0" borderId="13" xfId="0" applyNumberFormat="1" applyFont="1" applyFill="1" applyBorder="1" applyAlignment="1" applyProtection="1">
      <alignment horizontal="center" vertical="center"/>
      <protection locked="0"/>
    </xf>
    <xf numFmtId="44" fontId="4" fillId="0" borderId="15" xfId="0" applyNumberFormat="1" applyFont="1" applyFill="1" applyBorder="1" applyAlignment="1" applyProtection="1">
      <alignment vertic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44" fontId="4" fillId="0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 applyProtection="1">
      <alignment vertical="center"/>
      <protection locked="0"/>
    </xf>
    <xf numFmtId="0" fontId="7" fillId="0" borderId="20" xfId="0" applyFont="1" applyFill="1" applyBorder="1" applyAlignment="1" applyProtection="1">
      <alignment vertical="center"/>
      <protection locked="0"/>
    </xf>
    <xf numFmtId="44" fontId="9" fillId="4" borderId="11" xfId="0" applyNumberFormat="1" applyFont="1" applyFill="1" applyBorder="1" applyAlignment="1" applyProtection="1">
      <alignment horizontal="center" vertical="center"/>
    </xf>
    <xf numFmtId="0" fontId="9" fillId="4" borderId="7" xfId="0" applyFont="1" applyFill="1" applyBorder="1" applyAlignment="1" applyProtection="1">
      <alignment horizontal="center" vertical="center" wrapText="1"/>
    </xf>
    <xf numFmtId="44" fontId="9" fillId="4" borderId="11" xfId="0" applyNumberFormat="1" applyFont="1" applyFill="1" applyBorder="1" applyAlignment="1" applyProtection="1">
      <alignment horizontal="center" vertical="center" wrapText="1"/>
    </xf>
    <xf numFmtId="44" fontId="9" fillId="4" borderId="7" xfId="0" applyNumberFormat="1" applyFont="1" applyFill="1" applyBorder="1" applyAlignment="1" applyProtection="1">
      <alignment horizontal="center" vertical="center" wrapText="1"/>
    </xf>
    <xf numFmtId="44" fontId="9" fillId="4" borderId="14" xfId="0" applyNumberFormat="1" applyFont="1" applyFill="1" applyBorder="1" applyAlignment="1" applyProtection="1">
      <alignment horizontal="center" vertical="center"/>
    </xf>
    <xf numFmtId="0" fontId="9" fillId="4" borderId="6" xfId="0" applyFont="1" applyFill="1" applyBorder="1" applyAlignment="1" applyProtection="1">
      <alignment horizontal="center" vertical="center" wrapText="1"/>
    </xf>
    <xf numFmtId="44" fontId="9" fillId="4" borderId="14" xfId="0" applyNumberFormat="1" applyFont="1" applyFill="1" applyBorder="1" applyAlignment="1" applyProtection="1">
      <alignment horizontal="center" vertical="center" wrapText="1"/>
    </xf>
    <xf numFmtId="44" fontId="9" fillId="4" borderId="6" xfId="0" applyNumberFormat="1" applyFont="1" applyFill="1" applyBorder="1" applyAlignment="1" applyProtection="1">
      <alignment horizontal="center" vertical="center" wrapText="1"/>
    </xf>
    <xf numFmtId="0" fontId="4" fillId="5" borderId="21" xfId="0" applyFont="1" applyFill="1" applyBorder="1" applyAlignment="1" applyProtection="1">
      <alignment horizontal="right" vertical="center" wrapText="1"/>
    </xf>
    <xf numFmtId="44" fontId="4" fillId="5" borderId="22" xfId="0" applyNumberFormat="1" applyFont="1" applyFill="1" applyBorder="1" applyAlignment="1" applyProtection="1">
      <alignment vertical="center"/>
    </xf>
    <xf numFmtId="44" fontId="4" fillId="5" borderId="22" xfId="0" applyNumberFormat="1" applyFont="1" applyFill="1" applyBorder="1" applyAlignment="1" applyProtection="1">
      <alignment horizontal="center" vertical="center"/>
    </xf>
    <xf numFmtId="44" fontId="4" fillId="5" borderId="23" xfId="0" applyNumberFormat="1" applyFont="1" applyFill="1" applyBorder="1" applyAlignment="1" applyProtection="1">
      <alignment horizontal="center" vertical="center"/>
    </xf>
    <xf numFmtId="44" fontId="4" fillId="5" borderId="13" xfId="0" applyNumberFormat="1" applyFont="1" applyFill="1" applyBorder="1" applyAlignment="1" applyProtection="1">
      <alignment horizontal="center" vertical="center"/>
    </xf>
    <xf numFmtId="44" fontId="4" fillId="5" borderId="16" xfId="0" applyNumberFormat="1" applyFont="1" applyFill="1" applyBorder="1" applyAlignment="1" applyProtection="1">
      <alignment horizontal="center" vertical="center"/>
    </xf>
    <xf numFmtId="44" fontId="4" fillId="5" borderId="24" xfId="0" applyNumberFormat="1" applyFont="1" applyFill="1" applyBorder="1" applyAlignment="1" applyProtection="1">
      <alignment horizontal="center" vertical="center"/>
    </xf>
    <xf numFmtId="44" fontId="4" fillId="5" borderId="25" xfId="0" applyNumberFormat="1" applyFont="1" applyFill="1" applyBorder="1" applyAlignment="1" applyProtection="1">
      <alignment horizontal="center" vertical="center"/>
    </xf>
    <xf numFmtId="44" fontId="4" fillId="5" borderId="26" xfId="0" applyNumberFormat="1" applyFont="1" applyFill="1" applyBorder="1" applyAlignment="1" applyProtection="1">
      <alignment horizontal="center" vertical="center"/>
    </xf>
    <xf numFmtId="44" fontId="4" fillId="5" borderId="10" xfId="0" applyNumberFormat="1" applyFont="1" applyFill="1" applyBorder="1" applyAlignment="1" applyProtection="1">
      <alignment horizontal="center" vertical="center"/>
    </xf>
    <xf numFmtId="10" fontId="4" fillId="4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/>
      <protection locked="0"/>
    </xf>
    <xf numFmtId="14" fontId="10" fillId="2" borderId="6" xfId="0" applyNumberFormat="1" applyFont="1" applyFill="1" applyBorder="1" applyAlignment="1" applyProtection="1">
      <alignment horizontal="center"/>
      <protection locked="0"/>
    </xf>
    <xf numFmtId="0" fontId="4" fillId="2" borderId="0" xfId="0" applyNumberFormat="1" applyFont="1" applyFill="1" applyBorder="1" applyAlignment="1" applyProtection="1">
      <alignment horizontal="center"/>
      <protection locked="0"/>
    </xf>
    <xf numFmtId="14" fontId="4" fillId="2" borderId="2" xfId="0" applyNumberFormat="1" applyFont="1" applyFill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right" vertical="center"/>
    </xf>
    <xf numFmtId="44" fontId="4" fillId="5" borderId="26" xfId="0" applyNumberFormat="1" applyFont="1" applyFill="1" applyBorder="1" applyAlignment="1" applyProtection="1">
      <alignment vertical="center"/>
    </xf>
    <xf numFmtId="0" fontId="2" fillId="5" borderId="38" xfId="0" applyFont="1" applyFill="1" applyBorder="1" applyAlignment="1" applyProtection="1">
      <alignment vertical="center"/>
    </xf>
    <xf numFmtId="44" fontId="4" fillId="5" borderId="25" xfId="0" applyNumberFormat="1" applyFont="1" applyFill="1" applyBorder="1" applyAlignment="1" applyProtection="1">
      <alignment vertical="center"/>
    </xf>
    <xf numFmtId="0" fontId="2" fillId="5" borderId="34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right" vertical="center"/>
      <protection locked="0"/>
    </xf>
    <xf numFmtId="0" fontId="7" fillId="5" borderId="43" xfId="0" applyFont="1" applyFill="1" applyBorder="1" applyAlignment="1" applyProtection="1">
      <alignment vertical="center" wrapText="1"/>
      <protection locked="0"/>
    </xf>
    <xf numFmtId="0" fontId="6" fillId="5" borderId="44" xfId="0" applyFont="1" applyFill="1" applyBorder="1" applyAlignment="1" applyProtection="1">
      <alignment vertical="center" wrapText="1"/>
      <protection locked="0"/>
    </xf>
    <xf numFmtId="0" fontId="6" fillId="5" borderId="35" xfId="0" applyFont="1" applyFill="1" applyBorder="1" applyAlignment="1" applyProtection="1">
      <alignment vertical="center" wrapText="1"/>
      <protection locked="0"/>
    </xf>
    <xf numFmtId="0" fontId="4" fillId="5" borderId="21" xfId="0" applyFont="1" applyFill="1" applyBorder="1" applyAlignment="1" applyProtection="1">
      <alignment horizontal="right" vertical="center"/>
    </xf>
    <xf numFmtId="0" fontId="4" fillId="5" borderId="7" xfId="0" applyFont="1" applyFill="1" applyBorder="1" applyAlignment="1" applyProtection="1">
      <alignment horizontal="right" vertical="center"/>
    </xf>
    <xf numFmtId="44" fontId="9" fillId="4" borderId="21" xfId="0" applyNumberFormat="1" applyFont="1" applyFill="1" applyBorder="1" applyAlignment="1" applyProtection="1">
      <alignment horizontal="center" vertical="center" wrapText="1"/>
    </xf>
    <xf numFmtId="0" fontId="2" fillId="4" borderId="22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left" vertical="center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27" xfId="0" applyFont="1" applyFill="1" applyBorder="1" applyAlignment="1" applyProtection="1">
      <alignment horizontal="left" vertical="center"/>
    </xf>
    <xf numFmtId="0" fontId="7" fillId="5" borderId="43" xfId="0" applyFont="1" applyFill="1" applyBorder="1" applyAlignment="1" applyProtection="1">
      <alignment horizontal="left" vertical="center"/>
      <protection locked="0"/>
    </xf>
    <xf numFmtId="0" fontId="6" fillId="5" borderId="44" xfId="0" applyFont="1" applyFill="1" applyBorder="1" applyAlignment="1" applyProtection="1">
      <alignment horizontal="left" vertical="center"/>
      <protection locked="0"/>
    </xf>
    <xf numFmtId="0" fontId="6" fillId="5" borderId="35" xfId="0" applyFont="1" applyFill="1" applyBorder="1" applyAlignment="1" applyProtection="1">
      <alignment horizontal="left" vertical="center"/>
      <protection locked="0"/>
    </xf>
    <xf numFmtId="0" fontId="7" fillId="5" borderId="21" xfId="0" applyFont="1" applyFill="1" applyBorder="1" applyAlignment="1" applyProtection="1">
      <alignment horizontal="left" vertical="center"/>
    </xf>
    <xf numFmtId="0" fontId="2" fillId="5" borderId="7" xfId="0" applyFont="1" applyFill="1" applyBorder="1" applyAlignment="1" applyProtection="1">
      <alignment horizontal="left" vertical="center"/>
    </xf>
    <xf numFmtId="0" fontId="2" fillId="5" borderId="22" xfId="0" applyFont="1" applyFill="1" applyBorder="1" applyAlignment="1" applyProtection="1">
      <alignment horizontal="left" vertical="center"/>
    </xf>
    <xf numFmtId="0" fontId="4" fillId="0" borderId="31" xfId="0" applyFont="1" applyBorder="1" applyAlignment="1" applyProtection="1">
      <alignment wrapText="1"/>
      <protection locked="0"/>
    </xf>
    <xf numFmtId="0" fontId="4" fillId="0" borderId="32" xfId="0" applyFont="1" applyBorder="1" applyAlignment="1" applyProtection="1">
      <alignment wrapText="1"/>
      <protection locked="0"/>
    </xf>
    <xf numFmtId="0" fontId="4" fillId="0" borderId="33" xfId="0" applyFont="1" applyBorder="1" applyAlignment="1" applyProtection="1">
      <alignment wrapText="1"/>
      <protection locked="0"/>
    </xf>
    <xf numFmtId="0" fontId="4" fillId="0" borderId="45" xfId="0" applyFont="1" applyBorder="1" applyAlignment="1" applyProtection="1">
      <alignment wrapText="1"/>
      <protection locked="0"/>
    </xf>
    <xf numFmtId="0" fontId="4" fillId="0" borderId="46" xfId="0" applyFont="1" applyBorder="1" applyAlignment="1" applyProtection="1">
      <alignment wrapText="1"/>
      <protection locked="0"/>
    </xf>
    <xf numFmtId="0" fontId="4" fillId="0" borderId="47" xfId="0" applyFont="1" applyBorder="1" applyAlignment="1" applyProtection="1">
      <alignment wrapText="1"/>
      <protection locked="0"/>
    </xf>
    <xf numFmtId="0" fontId="7" fillId="4" borderId="21" xfId="0" applyFont="1" applyFill="1" applyBorder="1" applyAlignment="1" applyProtection="1">
      <alignment horizontal="left" vertical="center"/>
    </xf>
    <xf numFmtId="0" fontId="2" fillId="4" borderId="7" xfId="0" applyFont="1" applyFill="1" applyBorder="1" applyAlignment="1" applyProtection="1">
      <alignment vertical="center"/>
    </xf>
    <xf numFmtId="0" fontId="2" fillId="4" borderId="22" xfId="0" applyFont="1" applyFill="1" applyBorder="1" applyAlignment="1" applyProtection="1">
      <alignment vertical="center"/>
    </xf>
    <xf numFmtId="0" fontId="2" fillId="5" borderId="1" xfId="0" applyFont="1" applyFill="1" applyBorder="1" applyAlignment="1" applyProtection="1">
      <alignment vertical="center"/>
    </xf>
    <xf numFmtId="0" fontId="2" fillId="5" borderId="2" xfId="0" applyFont="1" applyFill="1" applyBorder="1" applyAlignment="1" applyProtection="1">
      <alignment vertical="center"/>
    </xf>
    <xf numFmtId="0" fontId="2" fillId="5" borderId="3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wrapText="1"/>
      <protection locked="0"/>
    </xf>
    <xf numFmtId="0" fontId="4" fillId="0" borderId="22" xfId="0" applyFont="1" applyBorder="1" applyAlignment="1" applyProtection="1">
      <alignment wrapText="1"/>
      <protection locked="0"/>
    </xf>
    <xf numFmtId="0" fontId="4" fillId="0" borderId="21" xfId="0" applyFont="1" applyFill="1" applyBorder="1" applyAlignment="1" applyProtection="1">
      <alignment wrapText="1"/>
      <protection locked="0"/>
    </xf>
    <xf numFmtId="0" fontId="4" fillId="0" borderId="7" xfId="0" applyFont="1" applyFill="1" applyBorder="1" applyAlignment="1" applyProtection="1">
      <alignment wrapText="1"/>
      <protection locked="0"/>
    </xf>
    <xf numFmtId="0" fontId="4" fillId="0" borderId="2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vertical="center"/>
    </xf>
    <xf numFmtId="0" fontId="7" fillId="5" borderId="18" xfId="0" applyFont="1" applyFill="1" applyBorder="1" applyAlignment="1" applyProtection="1">
      <alignment horizontal="right" vertical="center"/>
    </xf>
    <xf numFmtId="0" fontId="6" fillId="5" borderId="6" xfId="0" applyFont="1" applyFill="1" applyBorder="1" applyAlignment="1" applyProtection="1">
      <alignment vertical="center"/>
    </xf>
    <xf numFmtId="0" fontId="6" fillId="5" borderId="19" xfId="0" applyFont="1" applyFill="1" applyBorder="1" applyAlignment="1" applyProtection="1">
      <alignment vertical="center"/>
    </xf>
    <xf numFmtId="0" fontId="4" fillId="0" borderId="21" xfId="0" applyFont="1" applyBorder="1" applyAlignment="1" applyProtection="1">
      <alignment wrapText="1"/>
      <protection locked="0"/>
    </xf>
    <xf numFmtId="0" fontId="4" fillId="0" borderId="39" xfId="0" applyFont="1" applyBorder="1" applyAlignment="1" applyProtection="1">
      <alignment wrapText="1"/>
      <protection locked="0"/>
    </xf>
    <xf numFmtId="0" fontId="4" fillId="0" borderId="23" xfId="0" applyFont="1" applyBorder="1" applyAlignment="1" applyProtection="1">
      <alignment wrapText="1"/>
      <protection locked="0"/>
    </xf>
    <xf numFmtId="0" fontId="4" fillId="0" borderId="40" xfId="0" applyFont="1" applyBorder="1" applyAlignment="1" applyProtection="1">
      <alignment wrapText="1"/>
      <protection locked="0"/>
    </xf>
    <xf numFmtId="44" fontId="4" fillId="5" borderId="41" xfId="0" applyNumberFormat="1" applyFont="1" applyFill="1" applyBorder="1" applyAlignment="1" applyProtection="1">
      <alignment vertical="center"/>
    </xf>
    <xf numFmtId="0" fontId="2" fillId="5" borderId="42" xfId="0" applyFont="1" applyFill="1" applyBorder="1" applyAlignment="1" applyProtection="1">
      <alignment vertical="center"/>
    </xf>
    <xf numFmtId="44" fontId="4" fillId="5" borderId="21" xfId="0" applyNumberFormat="1" applyFont="1" applyFill="1" applyBorder="1" applyAlignment="1" applyProtection="1">
      <alignment vertical="center"/>
    </xf>
    <xf numFmtId="0" fontId="2" fillId="5" borderId="22" xfId="0" applyFont="1" applyFill="1" applyBorder="1" applyAlignment="1" applyProtection="1">
      <alignment vertical="center"/>
    </xf>
    <xf numFmtId="44" fontId="4" fillId="3" borderId="21" xfId="0" applyNumberFormat="1" applyFont="1" applyFill="1" applyBorder="1" applyAlignment="1" applyProtection="1">
      <alignment horizontal="center" vertical="center"/>
    </xf>
    <xf numFmtId="0" fontId="2" fillId="3" borderId="22" xfId="0" applyFont="1" applyFill="1" applyBorder="1" applyAlignment="1" applyProtection="1">
      <alignment vertical="center"/>
    </xf>
    <xf numFmtId="0" fontId="7" fillId="4" borderId="18" xfId="0" applyFont="1" applyFill="1" applyBorder="1" applyAlignment="1" applyProtection="1">
      <alignment horizontal="right" vertical="center"/>
    </xf>
    <xf numFmtId="0" fontId="6" fillId="4" borderId="6" xfId="0" applyFont="1" applyFill="1" applyBorder="1" applyAlignment="1" applyProtection="1">
      <alignment vertical="center"/>
    </xf>
    <xf numFmtId="0" fontId="6" fillId="4" borderId="19" xfId="0" applyFont="1" applyFill="1" applyBorder="1" applyAlignment="1" applyProtection="1">
      <alignment vertical="center"/>
    </xf>
    <xf numFmtId="0" fontId="4" fillId="5" borderId="21" xfId="0" applyFont="1" applyFill="1" applyBorder="1" applyAlignment="1" applyProtection="1">
      <alignment horizontal="right" vertical="center"/>
      <protection locked="0"/>
    </xf>
    <xf numFmtId="0" fontId="2" fillId="5" borderId="7" xfId="0" applyFont="1" applyFill="1" applyBorder="1" applyAlignment="1" applyProtection="1">
      <alignment vertical="center"/>
      <protection locked="0"/>
    </xf>
    <xf numFmtId="44" fontId="4" fillId="5" borderId="21" xfId="0" applyNumberFormat="1" applyFont="1" applyFill="1" applyBorder="1" applyAlignment="1" applyProtection="1">
      <alignment horizontal="center" vertical="center"/>
    </xf>
    <xf numFmtId="0" fontId="12" fillId="4" borderId="21" xfId="0" applyFont="1" applyFill="1" applyBorder="1" applyAlignment="1" applyProtection="1">
      <alignment horizontal="right" vertical="center"/>
    </xf>
    <xf numFmtId="0" fontId="4" fillId="5" borderId="7" xfId="0" applyFont="1" applyFill="1" applyBorder="1" applyAlignment="1" applyProtection="1">
      <alignment horizontal="right" vertical="center"/>
      <protection locked="0"/>
    </xf>
    <xf numFmtId="0" fontId="2" fillId="4" borderId="1" xfId="0" applyFont="1" applyFill="1" applyBorder="1" applyAlignment="1" applyProtection="1">
      <alignment vertical="center"/>
    </xf>
    <xf numFmtId="0" fontId="2" fillId="4" borderId="2" xfId="0" applyFont="1" applyFill="1" applyBorder="1" applyAlignment="1" applyProtection="1">
      <alignment vertical="center"/>
    </xf>
    <xf numFmtId="0" fontId="2" fillId="4" borderId="3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protection locked="0"/>
    </xf>
    <xf numFmtId="44" fontId="4" fillId="5" borderId="24" xfId="0" applyNumberFormat="1" applyFont="1" applyFill="1" applyBorder="1" applyAlignment="1" applyProtection="1">
      <alignment vertical="center"/>
    </xf>
    <xf numFmtId="0" fontId="2" fillId="5" borderId="35" xfId="0" applyFont="1" applyFill="1" applyBorder="1" applyAlignment="1" applyProtection="1">
      <alignment vertical="center"/>
    </xf>
    <xf numFmtId="44" fontId="4" fillId="3" borderId="31" xfId="0" applyNumberFormat="1" applyFont="1" applyFill="1" applyBorder="1" applyAlignment="1" applyProtection="1">
      <alignment horizontal="center" vertical="center"/>
    </xf>
    <xf numFmtId="0" fontId="2" fillId="3" borderId="33" xfId="0" applyFont="1" applyFill="1" applyBorder="1" applyAlignment="1" applyProtection="1">
      <alignment vertical="center"/>
    </xf>
    <xf numFmtId="0" fontId="11" fillId="2" borderId="6" xfId="0" applyFont="1" applyFill="1" applyBorder="1" applyAlignment="1" applyProtection="1">
      <alignment horizontal="center"/>
      <protection locked="0"/>
    </xf>
    <xf numFmtId="0" fontId="11" fillId="0" borderId="6" xfId="0" applyFont="1" applyBorder="1" applyAlignment="1" applyProtection="1">
      <alignment horizontal="center"/>
      <protection locked="0"/>
    </xf>
    <xf numFmtId="44" fontId="7" fillId="0" borderId="21" xfId="0" applyNumberFormat="1" applyFont="1" applyFill="1" applyBorder="1" applyAlignment="1" applyProtection="1">
      <alignment vertical="center"/>
    </xf>
    <xf numFmtId="0" fontId="2" fillId="0" borderId="22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wrapText="1"/>
      <protection locked="0"/>
    </xf>
    <xf numFmtId="0" fontId="4" fillId="0" borderId="2" xfId="0" applyFont="1" applyFill="1" applyBorder="1" applyAlignment="1" applyProtection="1">
      <alignment wrapText="1"/>
      <protection locked="0"/>
    </xf>
    <xf numFmtId="0" fontId="4" fillId="0" borderId="3" xfId="0" applyFont="1" applyFill="1" applyBorder="1" applyAlignment="1" applyProtection="1">
      <alignment wrapText="1"/>
      <protection locked="0"/>
    </xf>
    <xf numFmtId="0" fontId="4" fillId="2" borderId="0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protection locked="0"/>
    </xf>
    <xf numFmtId="44" fontId="4" fillId="6" borderId="18" xfId="0" applyNumberFormat="1" applyFont="1" applyFill="1" applyBorder="1" applyAlignment="1" applyProtection="1">
      <alignment vertical="center"/>
    </xf>
    <xf numFmtId="0" fontId="2" fillId="6" borderId="19" xfId="0" applyFont="1" applyFill="1" applyBorder="1" applyAlignment="1" applyProtection="1">
      <alignment vertical="center"/>
    </xf>
    <xf numFmtId="0" fontId="7" fillId="0" borderId="36" xfId="0" applyFont="1" applyFill="1" applyBorder="1" applyAlignment="1" applyProtection="1">
      <alignment horizontal="left" vertical="center"/>
    </xf>
    <xf numFmtId="0" fontId="6" fillId="0" borderId="37" xfId="0" applyFont="1" applyFill="1" applyBorder="1" applyAlignment="1" applyProtection="1">
      <alignment horizontal="left" vertical="center"/>
    </xf>
    <xf numFmtId="0" fontId="6" fillId="0" borderId="34" xfId="0" applyFont="1" applyFill="1" applyBorder="1" applyAlignment="1" applyProtection="1">
      <alignment horizontal="left" vertical="center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5" borderId="21" xfId="0" applyFont="1" applyFill="1" applyBorder="1" applyAlignment="1" applyProtection="1">
      <alignment horizontal="left" vertical="center" wrapText="1"/>
      <protection locked="0"/>
    </xf>
    <xf numFmtId="0" fontId="7" fillId="5" borderId="7" xfId="0" applyFont="1" applyFill="1" applyBorder="1" applyAlignment="1" applyProtection="1">
      <alignment horizontal="left" vertical="center" wrapText="1"/>
      <protection locked="0"/>
    </xf>
    <xf numFmtId="0" fontId="6" fillId="5" borderId="22" xfId="0" applyFont="1" applyFill="1" applyBorder="1" applyAlignment="1" applyProtection="1">
      <alignment horizontal="left" vertical="center" wrapText="1"/>
      <protection locked="0"/>
    </xf>
    <xf numFmtId="0" fontId="7" fillId="0" borderId="13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44" fontId="4" fillId="0" borderId="21" xfId="0" applyNumberFormat="1" applyFont="1" applyFill="1" applyBorder="1" applyAlignment="1" applyProtection="1">
      <alignment vertical="center"/>
    </xf>
    <xf numFmtId="0" fontId="4" fillId="0" borderId="2" xfId="0" applyFont="1" applyBorder="1" applyAlignment="1" applyProtection="1">
      <alignment wrapText="1"/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7" fillId="4" borderId="1" xfId="0" applyFont="1" applyFill="1" applyBorder="1" applyAlignment="1" applyProtection="1">
      <alignment horizontal="left" vertical="center"/>
    </xf>
    <xf numFmtId="0" fontId="4" fillId="0" borderId="6" xfId="0" applyFont="1" applyBorder="1" applyAlignment="1" applyProtection="1">
      <alignment wrapText="1"/>
      <protection locked="0"/>
    </xf>
    <xf numFmtId="0" fontId="4" fillId="0" borderId="19" xfId="0" applyFont="1" applyBorder="1" applyAlignment="1" applyProtection="1">
      <alignment wrapText="1"/>
      <protection locked="0"/>
    </xf>
    <xf numFmtId="44" fontId="4" fillId="5" borderId="28" xfId="0" applyNumberFormat="1" applyFont="1" applyFill="1" applyBorder="1" applyAlignment="1" applyProtection="1">
      <alignment vertical="center"/>
    </xf>
    <xf numFmtId="0" fontId="2" fillId="5" borderId="19" xfId="0" applyFont="1" applyFill="1" applyBorder="1" applyAlignment="1" applyProtection="1">
      <alignment vertical="center"/>
    </xf>
    <xf numFmtId="0" fontId="7" fillId="0" borderId="29" xfId="0" applyFont="1" applyFill="1" applyBorder="1" applyAlignment="1" applyProtection="1">
      <alignment horizontal="left" vertical="center"/>
      <protection locked="0"/>
    </xf>
    <xf numFmtId="0" fontId="6" fillId="0" borderId="30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9525</xdr:rowOff>
    </xdr:from>
    <xdr:to>
      <xdr:col>2</xdr:col>
      <xdr:colOff>45719</xdr:colOff>
      <xdr:row>2</xdr:row>
      <xdr:rowOff>95251</xdr:rowOff>
    </xdr:to>
    <xdr:sp macro="" textlink="">
      <xdr:nvSpPr>
        <xdr:cNvPr id="2059" name="Rectangle 11">
          <a:extLst>
            <a:ext uri="{FF2B5EF4-FFF2-40B4-BE49-F238E27FC236}">
              <a16:creationId xmlns:a16="http://schemas.microsoft.com/office/drawing/2014/main" id="{2625E148-8B8B-7E4C-859B-2890425E29F0}"/>
            </a:ext>
          </a:extLst>
        </xdr:cNvPr>
        <xdr:cNvSpPr>
          <a:spLocks noChangeArrowheads="1"/>
        </xdr:cNvSpPr>
      </xdr:nvSpPr>
      <xdr:spPr bwMode="auto">
        <a:xfrm>
          <a:off x="238125" y="304800"/>
          <a:ext cx="45719" cy="85725"/>
        </a:xfrm>
        <a:prstGeom prst="rect">
          <a:avLst/>
        </a:prstGeom>
        <a:solidFill>
          <a:srgbClr val="FFCC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lnSpc>
              <a:spcPts val="1500"/>
            </a:lnSpc>
            <a:defRPr sz="1000"/>
          </a:pPr>
          <a:endParaRPr lang="en-US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"YOUR LOGO </a:t>
          </a:r>
        </a:p>
        <a:p>
          <a:pPr algn="ctr" rtl="0">
            <a:lnSpc>
              <a:spcPts val="14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HERE"</a:t>
          </a:r>
        </a:p>
      </xdr:txBody>
    </xdr:sp>
    <xdr:clientData/>
  </xdr:twoCellAnchor>
  <xdr:twoCellAnchor>
    <xdr:from>
      <xdr:col>9</xdr:col>
      <xdr:colOff>393700</xdr:colOff>
      <xdr:row>2</xdr:row>
      <xdr:rowOff>1</xdr:rowOff>
    </xdr:from>
    <xdr:to>
      <xdr:col>13</xdr:col>
      <xdr:colOff>9568</xdr:colOff>
      <xdr:row>4</xdr:row>
      <xdr:rowOff>59267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CE50934D-70CD-0B4C-8859-363CCDE1E605}"/>
            </a:ext>
          </a:extLst>
        </xdr:cNvPr>
        <xdr:cNvSpPr>
          <a:spLocks noChangeArrowheads="1"/>
        </xdr:cNvSpPr>
      </xdr:nvSpPr>
      <xdr:spPr bwMode="auto">
        <a:xfrm>
          <a:off x="6946900" y="296334"/>
          <a:ext cx="3696801" cy="39793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24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Arial"/>
              <a:cs typeface="Arial"/>
            </a:rPr>
            <a:t>Bid Proposal</a:t>
          </a:r>
        </a:p>
      </xdr:txBody>
    </xdr:sp>
    <xdr:clientData/>
  </xdr:twoCellAnchor>
  <xdr:twoCellAnchor>
    <xdr:from>
      <xdr:col>9</xdr:col>
      <xdr:colOff>165100</xdr:colOff>
      <xdr:row>57</xdr:row>
      <xdr:rowOff>101600</xdr:rowOff>
    </xdr:from>
    <xdr:to>
      <xdr:col>10</xdr:col>
      <xdr:colOff>876300</xdr:colOff>
      <xdr:row>57</xdr:row>
      <xdr:rowOff>101600</xdr:rowOff>
    </xdr:to>
    <xdr:sp macro="" textlink="">
      <xdr:nvSpPr>
        <xdr:cNvPr id="10426" name="Line 22">
          <a:extLst>
            <a:ext uri="{FF2B5EF4-FFF2-40B4-BE49-F238E27FC236}">
              <a16:creationId xmlns:a16="http://schemas.microsoft.com/office/drawing/2014/main" id="{E02E06F9-1158-1A42-8C3C-434ED152D85B}"/>
            </a:ext>
          </a:extLst>
        </xdr:cNvPr>
        <xdr:cNvSpPr>
          <a:spLocks noChangeShapeType="1"/>
        </xdr:cNvSpPr>
      </xdr:nvSpPr>
      <xdr:spPr bwMode="auto">
        <a:xfrm>
          <a:off x="6680200" y="1202690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endParaRPr lang="en-US"/>
        </a:p>
      </xdr:txBody>
    </xdr:sp>
    <xdr:clientData/>
  </xdr:twoCellAnchor>
  <xdr:twoCellAnchor>
    <xdr:from>
      <xdr:col>9</xdr:col>
      <xdr:colOff>165100</xdr:colOff>
      <xdr:row>58</xdr:row>
      <xdr:rowOff>101600</xdr:rowOff>
    </xdr:from>
    <xdr:to>
      <xdr:col>10</xdr:col>
      <xdr:colOff>876300</xdr:colOff>
      <xdr:row>58</xdr:row>
      <xdr:rowOff>101600</xdr:rowOff>
    </xdr:to>
    <xdr:sp macro="" textlink="">
      <xdr:nvSpPr>
        <xdr:cNvPr id="10427" name="Line 24">
          <a:extLst>
            <a:ext uri="{FF2B5EF4-FFF2-40B4-BE49-F238E27FC236}">
              <a16:creationId xmlns:a16="http://schemas.microsoft.com/office/drawing/2014/main" id="{DF2376CB-B4AB-9547-82F7-30D33F7E2C53}"/>
            </a:ext>
          </a:extLst>
        </xdr:cNvPr>
        <xdr:cNvSpPr>
          <a:spLocks noChangeShapeType="1"/>
        </xdr:cNvSpPr>
      </xdr:nvSpPr>
      <xdr:spPr bwMode="auto">
        <a:xfrm>
          <a:off x="6680200" y="1221740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endParaRPr lang="en-US"/>
        </a:p>
      </xdr:txBody>
    </xdr:sp>
    <xdr:clientData/>
  </xdr:twoCellAnchor>
  <xdr:twoCellAnchor editAs="oneCell">
    <xdr:from>
      <xdr:col>1</xdr:col>
      <xdr:colOff>101600</xdr:colOff>
      <xdr:row>1</xdr:row>
      <xdr:rowOff>177800</xdr:rowOff>
    </xdr:from>
    <xdr:to>
      <xdr:col>7</xdr:col>
      <xdr:colOff>647700</xdr:colOff>
      <xdr:row>8</xdr:row>
      <xdr:rowOff>101600</xdr:rowOff>
    </xdr:to>
    <xdr:pic>
      <xdr:nvPicPr>
        <xdr:cNvPr id="10440" name="Picture 1">
          <a:extLst>
            <a:ext uri="{FF2B5EF4-FFF2-40B4-BE49-F238E27FC236}">
              <a16:creationId xmlns:a16="http://schemas.microsoft.com/office/drawing/2014/main" id="{C56407A8-A9D2-734C-8D1D-C1586DE3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41300"/>
          <a:ext cx="44704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355599</xdr:colOff>
      <xdr:row>6</xdr:row>
      <xdr:rowOff>84668</xdr:rowOff>
    </xdr:from>
    <xdr:to>
      <xdr:col>7</xdr:col>
      <xdr:colOff>626532</xdr:colOff>
      <xdr:row>9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3CD3B6-8DD9-E246-945F-39635AC0A740}"/>
            </a:ext>
          </a:extLst>
        </xdr:cNvPr>
        <xdr:cNvSpPr txBox="1"/>
      </xdr:nvSpPr>
      <xdr:spPr>
        <a:xfrm>
          <a:off x="1405466" y="1066801"/>
          <a:ext cx="3217333" cy="6180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225 RITTER RD, WINCHESTER,</a:t>
          </a:r>
          <a:r>
            <a:rPr lang="en-US" sz="1100" b="1" baseline="0"/>
            <a:t> VA  22602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(540) 869-5033  FAX (540) 869-5406</a:t>
          </a:r>
          <a:endParaRPr lang="en-US" sz="1100" b="1"/>
        </a:p>
        <a:p>
          <a:endParaRPr lang="en-US" sz="1100" b="1"/>
        </a:p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75"/>
  <sheetViews>
    <sheetView tabSelected="1" topLeftCell="B1" zoomScaleNormal="100" workbookViewId="0">
      <selection activeCell="D18" sqref="D18:F18"/>
    </sheetView>
  </sheetViews>
  <sheetFormatPr baseColWidth="10" defaultColWidth="9.1640625" defaultRowHeight="13"/>
  <cols>
    <col min="1" max="1" width="0.6640625" style="1" customWidth="1"/>
    <col min="2" max="2" width="2.83203125" style="1" customWidth="1"/>
    <col min="3" max="3" width="10.1640625" style="1" customWidth="1"/>
    <col min="4" max="4" width="12.5" style="1" customWidth="1"/>
    <col min="5" max="5" width="9.1640625" style="1"/>
    <col min="6" max="6" width="9.5" style="1" customWidth="1"/>
    <col min="7" max="7" width="7.33203125" style="1" customWidth="1"/>
    <col min="8" max="8" width="21.5" style="1" customWidth="1"/>
    <col min="9" max="9" width="11.83203125" style="1" customWidth="1"/>
    <col min="10" max="10" width="14.1640625" style="1" bestFit="1" customWidth="1"/>
    <col min="11" max="12" width="12.83203125" style="1" customWidth="1"/>
    <col min="13" max="13" width="13.5" style="1" customWidth="1"/>
    <col min="14" max="14" width="1.83203125" style="1" customWidth="1"/>
    <col min="15" max="15" width="1.5" style="1" customWidth="1"/>
    <col min="16" max="16384" width="9.1640625" style="1"/>
  </cols>
  <sheetData>
    <row r="1" spans="2:15" ht="5.25" customHeight="1" thickBot="1"/>
    <row r="2" spans="2:15" ht="1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82" t="s">
        <v>32</v>
      </c>
      <c r="M2" s="83"/>
      <c r="N2" s="4"/>
    </row>
    <row r="3" spans="2:1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2:1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2: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5" s="10" customFormat="1" ht="14">
      <c r="B6" s="5"/>
      <c r="C6" s="8"/>
      <c r="D6" s="9"/>
      <c r="E6" s="9"/>
      <c r="F6" s="9"/>
      <c r="G6" s="9"/>
      <c r="H6" s="9"/>
      <c r="I6" s="9"/>
      <c r="J6" s="6"/>
      <c r="K6" s="6"/>
      <c r="L6" s="6"/>
      <c r="M6" s="6"/>
      <c r="N6" s="7"/>
    </row>
    <row r="7" spans="2:15" s="10" customFormat="1" ht="14">
      <c r="B7" s="5"/>
      <c r="C7" s="8"/>
      <c r="D7" s="9"/>
      <c r="E7" s="9"/>
      <c r="F7" s="9"/>
      <c r="G7" s="9"/>
      <c r="H7" s="9"/>
      <c r="I7" s="9"/>
      <c r="J7" s="6"/>
      <c r="K7" s="160"/>
      <c r="L7" s="161"/>
      <c r="M7" s="81"/>
      <c r="N7" s="7"/>
    </row>
    <row r="8" spans="2:15" ht="20" thickBot="1">
      <c r="B8" s="5"/>
      <c r="C8" s="8"/>
      <c r="D8" s="9"/>
      <c r="E8" s="12" t="s">
        <v>28</v>
      </c>
      <c r="F8" s="9"/>
      <c r="G8" s="9"/>
      <c r="H8" s="9"/>
      <c r="I8" s="9"/>
      <c r="J8" s="6"/>
      <c r="K8" s="160" t="s">
        <v>5</v>
      </c>
      <c r="L8" s="161"/>
      <c r="M8" s="11">
        <v>44208</v>
      </c>
      <c r="N8" s="13"/>
      <c r="O8" s="10"/>
    </row>
    <row r="9" spans="2:15" ht="16.5" customHeight="1" thickBot="1">
      <c r="B9" s="5"/>
      <c r="C9" s="8"/>
      <c r="D9" s="9"/>
      <c r="E9" s="12" t="s">
        <v>28</v>
      </c>
      <c r="F9" s="9"/>
      <c r="G9" s="9"/>
      <c r="H9" s="9"/>
      <c r="I9" s="9"/>
      <c r="J9" s="6"/>
      <c r="K9" s="160" t="s">
        <v>8</v>
      </c>
      <c r="L9" s="161"/>
      <c r="M9" s="14">
        <v>60204</v>
      </c>
      <c r="N9" s="15"/>
      <c r="O9" s="10"/>
    </row>
    <row r="10" spans="2:15" ht="16.5" customHeight="1">
      <c r="B10" s="5"/>
      <c r="C10" s="8"/>
      <c r="D10" s="9"/>
      <c r="E10" s="9"/>
      <c r="F10" s="9"/>
      <c r="G10" s="9"/>
      <c r="H10" s="9"/>
      <c r="I10" s="9"/>
      <c r="J10" s="6"/>
      <c r="K10" s="16"/>
      <c r="L10" s="16"/>
      <c r="M10" s="16"/>
      <c r="N10" s="15"/>
      <c r="O10" s="10"/>
    </row>
    <row r="11" spans="2:15" ht="16.5" customHeight="1">
      <c r="B11" s="5"/>
      <c r="C11" s="8"/>
      <c r="D11" s="9"/>
      <c r="E11" s="9"/>
      <c r="F11" s="9"/>
      <c r="G11" s="9"/>
      <c r="H11" s="9"/>
      <c r="I11" s="9"/>
      <c r="J11" s="6"/>
      <c r="K11" s="16"/>
      <c r="L11" s="16"/>
      <c r="M11" s="16"/>
      <c r="N11" s="15"/>
      <c r="O11" s="10"/>
    </row>
    <row r="12" spans="2:15" ht="17" thickBot="1">
      <c r="B12" s="17"/>
      <c r="C12" s="18"/>
      <c r="D12" s="19"/>
      <c r="E12" s="19"/>
      <c r="F12" s="19"/>
      <c r="G12" s="19"/>
      <c r="H12" s="19"/>
      <c r="I12" s="19"/>
      <c r="J12" s="20"/>
      <c r="K12" s="21"/>
      <c r="L12" s="21"/>
      <c r="M12" s="21"/>
      <c r="N12" s="7"/>
      <c r="O12" s="10"/>
    </row>
    <row r="13" spans="2:15" ht="16">
      <c r="B13" s="17"/>
      <c r="C13" s="99" t="s">
        <v>13</v>
      </c>
      <c r="D13" s="100"/>
      <c r="E13" s="100"/>
      <c r="F13" s="101"/>
      <c r="G13" s="19"/>
      <c r="H13" s="19"/>
      <c r="I13" s="19"/>
      <c r="J13" s="89" t="s">
        <v>6</v>
      </c>
      <c r="K13" s="90"/>
      <c r="L13" s="90"/>
      <c r="M13" s="91"/>
      <c r="N13" s="7"/>
      <c r="O13" s="10"/>
    </row>
    <row r="14" spans="2:15" ht="16">
      <c r="B14" s="17"/>
      <c r="C14" s="164" t="s">
        <v>34</v>
      </c>
      <c r="D14" s="165"/>
      <c r="E14" s="165"/>
      <c r="F14" s="166"/>
      <c r="G14" s="19"/>
      <c r="H14" s="19"/>
      <c r="I14" s="19"/>
      <c r="J14" s="58" t="s">
        <v>22</v>
      </c>
      <c r="K14" s="172" t="s">
        <v>51</v>
      </c>
      <c r="L14" s="172"/>
      <c r="M14" s="173"/>
      <c r="N14" s="7"/>
      <c r="O14" s="10"/>
    </row>
    <row r="15" spans="2:15" ht="16">
      <c r="B15" s="17"/>
      <c r="C15" s="96" t="s">
        <v>50</v>
      </c>
      <c r="D15" s="97"/>
      <c r="E15" s="97"/>
      <c r="F15" s="98"/>
      <c r="G15" s="19"/>
      <c r="H15" s="19"/>
      <c r="I15" s="19"/>
      <c r="J15" s="58" t="s">
        <v>21</v>
      </c>
      <c r="K15" s="172" t="s">
        <v>52</v>
      </c>
      <c r="L15" s="172"/>
      <c r="M15" s="173"/>
      <c r="N15" s="7"/>
      <c r="O15" s="10"/>
    </row>
    <row r="16" spans="2:15" ht="17" thickBot="1">
      <c r="B16" s="17"/>
      <c r="C16" s="96" t="s">
        <v>26</v>
      </c>
      <c r="D16" s="97"/>
      <c r="E16" s="97"/>
      <c r="F16" s="98"/>
      <c r="G16" s="19"/>
      <c r="H16" s="19"/>
      <c r="I16" s="19"/>
      <c r="J16" s="59" t="s">
        <v>20</v>
      </c>
      <c r="K16" s="185" t="s">
        <v>53</v>
      </c>
      <c r="L16" s="185"/>
      <c r="M16" s="186"/>
      <c r="N16" s="7"/>
      <c r="O16" s="10"/>
    </row>
    <row r="17" spans="2:15" ht="16">
      <c r="B17" s="17"/>
      <c r="C17" s="96" t="s">
        <v>35</v>
      </c>
      <c r="D17" s="97"/>
      <c r="E17" s="97"/>
      <c r="F17" s="98"/>
      <c r="G17" s="19"/>
      <c r="H17" s="19"/>
      <c r="I17" s="19"/>
      <c r="J17" s="21"/>
      <c r="K17" s="20"/>
      <c r="L17" s="20"/>
      <c r="M17" s="20"/>
      <c r="N17" s="7"/>
      <c r="O17" s="10"/>
    </row>
    <row r="18" spans="2:15" ht="17" thickBot="1">
      <c r="B18" s="17"/>
      <c r="C18" s="57" t="s">
        <v>7</v>
      </c>
      <c r="D18" s="167" t="s">
        <v>40</v>
      </c>
      <c r="E18" s="167"/>
      <c r="F18" s="168"/>
      <c r="G18" s="19"/>
      <c r="H18" s="19"/>
      <c r="I18" s="19"/>
      <c r="J18" s="21"/>
      <c r="K18" s="21"/>
      <c r="L18" s="21"/>
      <c r="M18" s="21"/>
      <c r="N18" s="7"/>
      <c r="O18" s="10"/>
    </row>
    <row r="19" spans="2:15">
      <c r="B19" s="5"/>
      <c r="C19" s="22"/>
      <c r="D19" s="22"/>
      <c r="E19" s="22"/>
      <c r="F19" s="22"/>
      <c r="G19" s="9"/>
      <c r="H19" s="9"/>
      <c r="I19" s="9"/>
      <c r="J19" s="23"/>
      <c r="K19" s="88"/>
      <c r="L19" s="88"/>
      <c r="M19" s="24"/>
      <c r="N19" s="7"/>
      <c r="O19" s="10"/>
    </row>
    <row r="20" spans="2:15" ht="14" thickBot="1">
      <c r="B20" s="5"/>
      <c r="C20" s="22"/>
      <c r="D20" s="22"/>
      <c r="E20" s="22"/>
      <c r="F20" s="22"/>
      <c r="G20" s="9"/>
      <c r="H20" s="9"/>
      <c r="I20" s="9"/>
      <c r="J20" s="23"/>
      <c r="K20" s="23"/>
      <c r="L20" s="23"/>
      <c r="M20" s="23"/>
      <c r="N20" s="7"/>
      <c r="O20" s="10"/>
    </row>
    <row r="21" spans="2:15" ht="5" hidden="1" customHeight="1" thickBot="1">
      <c r="B21" s="5"/>
      <c r="C21" s="8"/>
      <c r="D21" s="9"/>
      <c r="E21" s="9"/>
      <c r="F21" s="9"/>
      <c r="G21" s="9"/>
      <c r="H21" s="9"/>
      <c r="I21" s="9"/>
      <c r="J21" s="6"/>
      <c r="K21" s="6"/>
      <c r="L21" s="6"/>
      <c r="M21" s="6"/>
      <c r="N21" s="7"/>
      <c r="O21" s="10"/>
    </row>
    <row r="22" spans="2:15" ht="103" customHeight="1" thickBot="1">
      <c r="B22" s="102" t="s">
        <v>4</v>
      </c>
      <c r="C22" s="103"/>
      <c r="D22" s="103"/>
      <c r="E22" s="104"/>
      <c r="F22" s="169" t="s">
        <v>54</v>
      </c>
      <c r="G22" s="170"/>
      <c r="H22" s="170"/>
      <c r="I22" s="170"/>
      <c r="J22" s="170"/>
      <c r="K22" s="170"/>
      <c r="L22" s="170"/>
      <c r="M22" s="170"/>
      <c r="N22" s="171"/>
      <c r="O22" s="10"/>
    </row>
    <row r="23" spans="2:15" ht="12" customHeight="1" thickBot="1">
      <c r="B23" s="174" t="s">
        <v>37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6"/>
    </row>
    <row r="24" spans="2:15" s="25" customFormat="1" ht="26.25" customHeight="1" thickBot="1">
      <c r="B24" s="180" t="s">
        <v>11</v>
      </c>
      <c r="C24" s="112"/>
      <c r="D24" s="112"/>
      <c r="E24" s="112"/>
      <c r="F24" s="112"/>
      <c r="G24" s="112"/>
      <c r="H24" s="113"/>
      <c r="I24" s="60" t="s">
        <v>2</v>
      </c>
      <c r="J24" s="61" t="s">
        <v>3</v>
      </c>
      <c r="K24" s="62" t="s">
        <v>0</v>
      </c>
      <c r="L24" s="63" t="s">
        <v>1</v>
      </c>
      <c r="M24" s="94" t="s">
        <v>15</v>
      </c>
      <c r="N24" s="95"/>
    </row>
    <row r="25" spans="2:15" ht="14" thickBot="1">
      <c r="B25" s="26">
        <v>1</v>
      </c>
      <c r="C25" s="181" t="s">
        <v>49</v>
      </c>
      <c r="D25" s="181"/>
      <c r="E25" s="181"/>
      <c r="F25" s="181"/>
      <c r="G25" s="181"/>
      <c r="H25" s="182"/>
      <c r="I25" s="27">
        <v>0</v>
      </c>
      <c r="J25" s="28">
        <v>0</v>
      </c>
      <c r="K25" s="29">
        <v>800</v>
      </c>
      <c r="L25" s="71">
        <f>SUM(J25*K25)</f>
        <v>0</v>
      </c>
      <c r="M25" s="149">
        <f>SUM(I25+L25)</f>
        <v>0</v>
      </c>
      <c r="N25" s="150"/>
    </row>
    <row r="26" spans="2:15" ht="14" thickBot="1">
      <c r="B26" s="30">
        <v>2</v>
      </c>
      <c r="C26" s="117"/>
      <c r="D26" s="117"/>
      <c r="E26" s="117"/>
      <c r="F26" s="117"/>
      <c r="G26" s="117"/>
      <c r="H26" s="118"/>
      <c r="I26" s="31">
        <v>0</v>
      </c>
      <c r="J26" s="32">
        <v>0</v>
      </c>
      <c r="K26" s="33">
        <v>0</v>
      </c>
      <c r="L26" s="72">
        <f>SUM(J26*K26)</f>
        <v>0</v>
      </c>
      <c r="M26" s="86">
        <f>SUM(I26+L26)</f>
        <v>0</v>
      </c>
      <c r="N26" s="87"/>
    </row>
    <row r="27" spans="2:15" ht="14" thickBot="1">
      <c r="B27" s="30">
        <v>3</v>
      </c>
      <c r="C27" s="117"/>
      <c r="D27" s="117"/>
      <c r="E27" s="117"/>
      <c r="F27" s="117"/>
      <c r="G27" s="117"/>
      <c r="H27" s="118"/>
      <c r="I27" s="31">
        <v>0</v>
      </c>
      <c r="J27" s="32">
        <v>0</v>
      </c>
      <c r="K27" s="33">
        <v>0</v>
      </c>
      <c r="L27" s="72">
        <f>SUM(J27*K27)</f>
        <v>0</v>
      </c>
      <c r="M27" s="86">
        <f>SUM(I27+L27)</f>
        <v>0</v>
      </c>
      <c r="N27" s="87"/>
    </row>
    <row r="28" spans="2:15" ht="14" thickBot="1">
      <c r="B28" s="34">
        <v>4</v>
      </c>
      <c r="C28" s="178"/>
      <c r="D28" s="178"/>
      <c r="E28" s="178"/>
      <c r="F28" s="178"/>
      <c r="G28" s="178"/>
      <c r="H28" s="179"/>
      <c r="I28" s="35">
        <v>0</v>
      </c>
      <c r="J28" s="36">
        <v>0</v>
      </c>
      <c r="K28" s="37">
        <v>0</v>
      </c>
      <c r="L28" s="73">
        <f>SUM(J28*K28)</f>
        <v>0</v>
      </c>
      <c r="M28" s="84">
        <f>SUM(I28+L28)</f>
        <v>0</v>
      </c>
      <c r="N28" s="85"/>
    </row>
    <row r="29" spans="2:15" ht="15" customHeight="1" thickBot="1">
      <c r="B29" s="114"/>
      <c r="C29" s="115"/>
      <c r="D29" s="115"/>
      <c r="E29" s="115"/>
      <c r="F29" s="115"/>
      <c r="G29" s="116"/>
      <c r="H29" s="68" t="s">
        <v>9</v>
      </c>
      <c r="I29" s="69">
        <f>SUM(I25:I28)</f>
        <v>0</v>
      </c>
      <c r="J29" s="92" t="s">
        <v>10</v>
      </c>
      <c r="K29" s="93"/>
      <c r="L29" s="70">
        <f>SUM(L25:L28)</f>
        <v>0</v>
      </c>
      <c r="M29" s="151"/>
      <c r="N29" s="152"/>
    </row>
    <row r="30" spans="2:15" ht="17" thickBot="1">
      <c r="B30" s="123" t="s">
        <v>16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5"/>
      <c r="M30" s="162">
        <f>SUM(M25:M28)</f>
        <v>0</v>
      </c>
      <c r="N30" s="163"/>
    </row>
    <row r="31" spans="2:15" s="25" customFormat="1" ht="26.25" customHeight="1" thickBot="1">
      <c r="B31" s="111" t="s">
        <v>12</v>
      </c>
      <c r="C31" s="112"/>
      <c r="D31" s="112"/>
      <c r="E31" s="112"/>
      <c r="F31" s="112"/>
      <c r="G31" s="112"/>
      <c r="H31" s="113"/>
      <c r="I31" s="64" t="s">
        <v>2</v>
      </c>
      <c r="J31" s="65" t="s">
        <v>3</v>
      </c>
      <c r="K31" s="66" t="s">
        <v>0</v>
      </c>
      <c r="L31" s="67" t="s">
        <v>1</v>
      </c>
      <c r="M31" s="94" t="s">
        <v>15</v>
      </c>
      <c r="N31" s="95"/>
    </row>
    <row r="32" spans="2:15" ht="14" thickBot="1">
      <c r="B32" s="26">
        <v>1</v>
      </c>
      <c r="C32" s="108" t="s">
        <v>33</v>
      </c>
      <c r="D32" s="109"/>
      <c r="E32" s="109"/>
      <c r="F32" s="109"/>
      <c r="G32" s="109"/>
      <c r="H32" s="110"/>
      <c r="I32" s="27">
        <v>0</v>
      </c>
      <c r="J32" s="28">
        <v>198</v>
      </c>
      <c r="K32" s="29">
        <v>70</v>
      </c>
      <c r="L32" s="74">
        <f t="shared" ref="L32:L40" si="0">SUM(J32*K32)</f>
        <v>13860</v>
      </c>
      <c r="M32" s="149">
        <f t="shared" ref="M32:M40" si="1">SUM(I32+L32)</f>
        <v>13860</v>
      </c>
      <c r="N32" s="150"/>
    </row>
    <row r="33" spans="2:14" ht="14" thickBot="1">
      <c r="B33" s="30">
        <v>2</v>
      </c>
      <c r="C33" s="105" t="s">
        <v>48</v>
      </c>
      <c r="D33" s="106"/>
      <c r="E33" s="106"/>
      <c r="F33" s="106"/>
      <c r="G33" s="106"/>
      <c r="H33" s="107"/>
      <c r="I33" s="31">
        <v>0</v>
      </c>
      <c r="J33" s="32">
        <v>1</v>
      </c>
      <c r="K33" s="33">
        <v>1150</v>
      </c>
      <c r="L33" s="75">
        <f>SUM(J33*K33)</f>
        <v>1150</v>
      </c>
      <c r="M33" s="86">
        <f t="shared" si="1"/>
        <v>1150</v>
      </c>
      <c r="N33" s="87"/>
    </row>
    <row r="34" spans="2:14" ht="14" thickBot="1">
      <c r="B34" s="38">
        <v>3</v>
      </c>
      <c r="C34" s="105"/>
      <c r="D34" s="106"/>
      <c r="E34" s="106"/>
      <c r="F34" s="106"/>
      <c r="G34" s="106"/>
      <c r="H34" s="107"/>
      <c r="I34" s="31">
        <v>0</v>
      </c>
      <c r="J34" s="32">
        <v>0</v>
      </c>
      <c r="K34" s="33">
        <v>0</v>
      </c>
      <c r="L34" s="75">
        <f>SUM(J34*K34)</f>
        <v>0</v>
      </c>
      <c r="M34" s="86">
        <f>SUM(I34+L34)</f>
        <v>0</v>
      </c>
      <c r="N34" s="87"/>
    </row>
    <row r="35" spans="2:14" ht="14" thickBot="1">
      <c r="B35" s="30">
        <v>4</v>
      </c>
      <c r="C35" s="126"/>
      <c r="D35" s="117"/>
      <c r="E35" s="117"/>
      <c r="F35" s="117"/>
      <c r="G35" s="117"/>
      <c r="H35" s="118"/>
      <c r="I35" s="31">
        <v>0</v>
      </c>
      <c r="J35" s="32">
        <v>0</v>
      </c>
      <c r="K35" s="33">
        <v>0</v>
      </c>
      <c r="L35" s="75">
        <f>SUM(J35*K35)</f>
        <v>0</v>
      </c>
      <c r="M35" s="86">
        <f t="shared" si="1"/>
        <v>0</v>
      </c>
      <c r="N35" s="87"/>
    </row>
    <row r="36" spans="2:14" ht="14" customHeight="1" thickBot="1">
      <c r="B36" s="38">
        <v>5</v>
      </c>
      <c r="C36" s="126" t="s">
        <v>55</v>
      </c>
      <c r="D36" s="117"/>
      <c r="E36" s="117"/>
      <c r="F36" s="117"/>
      <c r="G36" s="117"/>
      <c r="H36" s="118"/>
      <c r="I36" s="31">
        <v>0</v>
      </c>
      <c r="J36" s="32">
        <v>0</v>
      </c>
      <c r="K36" s="33">
        <v>0</v>
      </c>
      <c r="L36" s="75">
        <f t="shared" si="0"/>
        <v>0</v>
      </c>
      <c r="M36" s="86">
        <f t="shared" si="1"/>
        <v>0</v>
      </c>
      <c r="N36" s="87"/>
    </row>
    <row r="37" spans="2:14" ht="14" customHeight="1" thickBot="1">
      <c r="B37" s="30">
        <v>6</v>
      </c>
      <c r="C37" s="105" t="s">
        <v>46</v>
      </c>
      <c r="D37" s="106"/>
      <c r="E37" s="106"/>
      <c r="F37" s="106"/>
      <c r="G37" s="106"/>
      <c r="H37" s="107"/>
      <c r="I37" s="31">
        <v>0</v>
      </c>
      <c r="J37" s="32">
        <v>0</v>
      </c>
      <c r="K37" s="33">
        <v>0</v>
      </c>
      <c r="L37" s="75">
        <f t="shared" si="0"/>
        <v>0</v>
      </c>
      <c r="M37" s="86">
        <f t="shared" si="1"/>
        <v>0</v>
      </c>
      <c r="N37" s="87"/>
    </row>
    <row r="38" spans="2:14" ht="14" customHeight="1" thickBot="1">
      <c r="B38" s="34">
        <v>7</v>
      </c>
      <c r="C38" s="127"/>
      <c r="D38" s="128"/>
      <c r="E38" s="128"/>
      <c r="F38" s="128"/>
      <c r="G38" s="128"/>
      <c r="H38" s="129"/>
      <c r="I38" s="35"/>
      <c r="J38" s="36">
        <v>0</v>
      </c>
      <c r="K38" s="37">
        <v>0</v>
      </c>
      <c r="L38" s="76">
        <f t="shared" si="0"/>
        <v>0</v>
      </c>
      <c r="M38" s="86">
        <f t="shared" si="1"/>
        <v>0</v>
      </c>
      <c r="N38" s="87"/>
    </row>
    <row r="39" spans="2:14" ht="14" customHeight="1" thickBot="1">
      <c r="B39" s="30">
        <v>8</v>
      </c>
      <c r="C39" s="127"/>
      <c r="D39" s="128"/>
      <c r="E39" s="128"/>
      <c r="F39" s="128"/>
      <c r="G39" s="128"/>
      <c r="H39" s="129"/>
      <c r="I39" s="35">
        <v>0</v>
      </c>
      <c r="J39" s="36">
        <v>1</v>
      </c>
      <c r="K39" s="37">
        <v>0</v>
      </c>
      <c r="L39" s="76">
        <v>0</v>
      </c>
      <c r="M39" s="86">
        <f>SUM(I39+L39)</f>
        <v>0</v>
      </c>
      <c r="N39" s="87"/>
    </row>
    <row r="40" spans="2:14" ht="14" thickBot="1">
      <c r="B40" s="26">
        <v>9</v>
      </c>
      <c r="C40" s="105" t="s">
        <v>47</v>
      </c>
      <c r="D40" s="106"/>
      <c r="E40" s="106"/>
      <c r="F40" s="106"/>
      <c r="G40" s="106"/>
      <c r="H40" s="107"/>
      <c r="I40" s="31">
        <v>0</v>
      </c>
      <c r="J40" s="32">
        <v>0</v>
      </c>
      <c r="K40" s="33">
        <v>0</v>
      </c>
      <c r="L40" s="75">
        <f t="shared" si="0"/>
        <v>0</v>
      </c>
      <c r="M40" s="130">
        <f t="shared" si="1"/>
        <v>0</v>
      </c>
      <c r="N40" s="131"/>
    </row>
    <row r="41" spans="2:14" ht="14" customHeight="1" thickBot="1">
      <c r="B41" s="30">
        <v>10</v>
      </c>
      <c r="C41" s="105" t="s">
        <v>36</v>
      </c>
      <c r="D41" s="106"/>
      <c r="E41" s="106"/>
      <c r="F41" s="106"/>
      <c r="G41" s="106"/>
      <c r="H41" s="107"/>
      <c r="I41" s="35">
        <v>0</v>
      </c>
      <c r="J41" s="36">
        <v>0</v>
      </c>
      <c r="K41" s="37">
        <v>0</v>
      </c>
      <c r="L41" s="76">
        <v>0</v>
      </c>
      <c r="M41" s="86">
        <f>SUM(I41+L41)</f>
        <v>0</v>
      </c>
      <c r="N41" s="87"/>
    </row>
    <row r="42" spans="2:14" ht="14" customHeight="1" thickBot="1">
      <c r="B42" s="30">
        <v>11</v>
      </c>
      <c r="C42" s="105"/>
      <c r="D42" s="106"/>
      <c r="E42" s="106"/>
      <c r="F42" s="106"/>
      <c r="G42" s="106"/>
      <c r="H42" s="107"/>
      <c r="I42" s="35">
        <v>0</v>
      </c>
      <c r="J42" s="36">
        <v>0</v>
      </c>
      <c r="K42" s="37">
        <v>0</v>
      </c>
      <c r="L42" s="76">
        <v>0</v>
      </c>
      <c r="M42" s="86">
        <f>SUM(I42+L42)</f>
        <v>0</v>
      </c>
      <c r="N42" s="87"/>
    </row>
    <row r="43" spans="2:14" ht="14" customHeight="1" thickBot="1">
      <c r="B43" s="30">
        <v>12</v>
      </c>
      <c r="C43" s="127" t="s">
        <v>38</v>
      </c>
      <c r="D43" s="128"/>
      <c r="E43" s="128"/>
      <c r="F43" s="128"/>
      <c r="G43" s="128"/>
      <c r="H43" s="129"/>
      <c r="I43" s="35">
        <v>0</v>
      </c>
      <c r="J43" s="36">
        <v>1</v>
      </c>
      <c r="K43" s="37">
        <v>0</v>
      </c>
      <c r="L43" s="76">
        <v>2000</v>
      </c>
      <c r="M43" s="183">
        <f>SUM(I43+L43)</f>
        <v>2000</v>
      </c>
      <c r="N43" s="184"/>
    </row>
    <row r="44" spans="2:14" ht="15" customHeight="1" thickBot="1">
      <c r="B44" s="122" t="s">
        <v>29</v>
      </c>
      <c r="C44" s="115"/>
      <c r="D44" s="115"/>
      <c r="E44" s="115"/>
      <c r="F44" s="115"/>
      <c r="G44" s="116"/>
      <c r="H44" s="68" t="s">
        <v>9</v>
      </c>
      <c r="I44" s="69">
        <f>SUM(I32:I43)</f>
        <v>0</v>
      </c>
      <c r="J44" s="92" t="s">
        <v>10</v>
      </c>
      <c r="K44" s="93"/>
      <c r="L44" s="70">
        <f>SUM(L32:L43)</f>
        <v>17010</v>
      </c>
      <c r="M44" s="134"/>
      <c r="N44" s="135"/>
    </row>
    <row r="45" spans="2:14" ht="17" thickBot="1">
      <c r="B45" s="123" t="s">
        <v>30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5"/>
      <c r="M45" s="177">
        <f>SUM(M32:M43)</f>
        <v>17010</v>
      </c>
      <c r="N45" s="156"/>
    </row>
    <row r="46" spans="2:14" s="25" customFormat="1" ht="26.25" customHeight="1" thickBot="1">
      <c r="B46" s="111" t="s">
        <v>17</v>
      </c>
      <c r="C46" s="112"/>
      <c r="D46" s="112"/>
      <c r="E46" s="112"/>
      <c r="F46" s="112"/>
      <c r="G46" s="112"/>
      <c r="H46" s="113"/>
      <c r="I46" s="64" t="s">
        <v>2</v>
      </c>
      <c r="J46" s="65" t="s">
        <v>3</v>
      </c>
      <c r="K46" s="66" t="s">
        <v>0</v>
      </c>
      <c r="L46" s="67" t="s">
        <v>1</v>
      </c>
      <c r="M46" s="94" t="s">
        <v>15</v>
      </c>
      <c r="N46" s="95"/>
    </row>
    <row r="47" spans="2:14" ht="14" thickBot="1">
      <c r="B47" s="26">
        <v>1</v>
      </c>
      <c r="C47" s="119" t="s">
        <v>25</v>
      </c>
      <c r="D47" s="120"/>
      <c r="E47" s="120"/>
      <c r="F47" s="120"/>
      <c r="G47" s="120"/>
      <c r="H47" s="121"/>
      <c r="I47" s="48">
        <v>0</v>
      </c>
      <c r="J47" s="49">
        <v>0</v>
      </c>
      <c r="K47" s="50">
        <v>0</v>
      </c>
      <c r="L47" s="77">
        <f t="shared" ref="L47:L55" si="2">SUM(J47*K47)</f>
        <v>0</v>
      </c>
      <c r="M47" s="149">
        <f t="shared" ref="M47:M55" si="3">SUM(I47+L47)</f>
        <v>0</v>
      </c>
      <c r="N47" s="150"/>
    </row>
    <row r="48" spans="2:14" ht="14" thickBot="1">
      <c r="B48" s="30">
        <v>2</v>
      </c>
      <c r="C48" s="119"/>
      <c r="D48" s="120"/>
      <c r="E48" s="120"/>
      <c r="F48" s="120"/>
      <c r="G48" s="120"/>
      <c r="H48" s="121"/>
      <c r="I48" s="51">
        <v>0</v>
      </c>
      <c r="J48" s="52">
        <v>0</v>
      </c>
      <c r="K48" s="53">
        <v>0</v>
      </c>
      <c r="L48" s="72">
        <f t="shared" si="2"/>
        <v>0</v>
      </c>
      <c r="M48" s="86">
        <f t="shared" si="3"/>
        <v>0</v>
      </c>
      <c r="N48" s="87"/>
    </row>
    <row r="49" spans="2:14" ht="14" thickBot="1">
      <c r="B49" s="38">
        <v>3</v>
      </c>
      <c r="C49" s="119"/>
      <c r="D49" s="120"/>
      <c r="E49" s="120"/>
      <c r="F49" s="120"/>
      <c r="G49" s="120"/>
      <c r="H49" s="121"/>
      <c r="I49" s="51">
        <v>0</v>
      </c>
      <c r="J49" s="52">
        <v>0</v>
      </c>
      <c r="K49" s="53">
        <v>0</v>
      </c>
      <c r="L49" s="72">
        <f t="shared" si="2"/>
        <v>0</v>
      </c>
      <c r="M49" s="86">
        <f t="shared" si="3"/>
        <v>0</v>
      </c>
      <c r="N49" s="87"/>
    </row>
    <row r="50" spans="2:14" ht="14" thickBot="1">
      <c r="B50" s="30">
        <v>4</v>
      </c>
      <c r="C50" s="119" t="s">
        <v>39</v>
      </c>
      <c r="D50" s="120"/>
      <c r="E50" s="120"/>
      <c r="F50" s="120"/>
      <c r="G50" s="120"/>
      <c r="H50" s="121"/>
      <c r="I50" s="51">
        <v>0</v>
      </c>
      <c r="J50" s="52">
        <v>0</v>
      </c>
      <c r="K50" s="53">
        <v>0</v>
      </c>
      <c r="L50" s="72">
        <f t="shared" si="2"/>
        <v>0</v>
      </c>
      <c r="M50" s="86">
        <f t="shared" si="3"/>
        <v>0</v>
      </c>
      <c r="N50" s="87"/>
    </row>
    <row r="51" spans="2:14" ht="14" thickBot="1">
      <c r="B51" s="38">
        <v>5</v>
      </c>
      <c r="C51" s="119"/>
      <c r="D51" s="120"/>
      <c r="E51" s="120"/>
      <c r="F51" s="120"/>
      <c r="G51" s="120"/>
      <c r="H51" s="121"/>
      <c r="I51" s="51">
        <v>0</v>
      </c>
      <c r="J51" s="52">
        <v>0</v>
      </c>
      <c r="K51" s="53">
        <v>0</v>
      </c>
      <c r="L51" s="72">
        <f t="shared" si="2"/>
        <v>0</v>
      </c>
      <c r="M51" s="86">
        <f t="shared" si="3"/>
        <v>0</v>
      </c>
      <c r="N51" s="87"/>
    </row>
    <row r="52" spans="2:14" ht="14" thickBot="1">
      <c r="B52" s="30">
        <v>6</v>
      </c>
      <c r="C52" s="119"/>
      <c r="D52" s="120"/>
      <c r="E52" s="120"/>
      <c r="F52" s="120"/>
      <c r="G52" s="120"/>
      <c r="H52" s="121"/>
      <c r="I52" s="51">
        <v>0</v>
      </c>
      <c r="J52" s="52">
        <v>0</v>
      </c>
      <c r="K52" s="53">
        <v>0</v>
      </c>
      <c r="L52" s="72">
        <f t="shared" si="2"/>
        <v>0</v>
      </c>
      <c r="M52" s="86">
        <f t="shared" si="3"/>
        <v>0</v>
      </c>
      <c r="N52" s="87"/>
    </row>
    <row r="53" spans="2:14" ht="14" thickBot="1">
      <c r="B53" s="38">
        <v>7</v>
      </c>
      <c r="C53" s="119"/>
      <c r="D53" s="120"/>
      <c r="E53" s="120"/>
      <c r="F53" s="120"/>
      <c r="G53" s="120"/>
      <c r="H53" s="121"/>
      <c r="I53" s="51">
        <v>0</v>
      </c>
      <c r="J53" s="52">
        <v>0</v>
      </c>
      <c r="K53" s="53">
        <v>0</v>
      </c>
      <c r="L53" s="72">
        <f t="shared" si="2"/>
        <v>0</v>
      </c>
      <c r="M53" s="86">
        <f t="shared" si="3"/>
        <v>0</v>
      </c>
      <c r="N53" s="87"/>
    </row>
    <row r="54" spans="2:14" ht="14" thickBot="1">
      <c r="B54" s="30">
        <v>8</v>
      </c>
      <c r="C54" s="119"/>
      <c r="D54" s="120"/>
      <c r="E54" s="120"/>
      <c r="F54" s="120"/>
      <c r="G54" s="120"/>
      <c r="H54" s="121"/>
      <c r="I54" s="51">
        <v>0</v>
      </c>
      <c r="J54" s="52">
        <v>0</v>
      </c>
      <c r="K54" s="53">
        <v>0</v>
      </c>
      <c r="L54" s="72">
        <f t="shared" si="2"/>
        <v>0</v>
      </c>
      <c r="M54" s="86">
        <f t="shared" si="3"/>
        <v>0</v>
      </c>
      <c r="N54" s="87"/>
    </row>
    <row r="55" spans="2:14" ht="14" thickBot="1">
      <c r="B55" s="34">
        <v>9</v>
      </c>
      <c r="C55" s="157"/>
      <c r="D55" s="158"/>
      <c r="E55" s="158"/>
      <c r="F55" s="158"/>
      <c r="G55" s="158"/>
      <c r="H55" s="159"/>
      <c r="I55" s="54">
        <v>0</v>
      </c>
      <c r="J55" s="55">
        <v>0</v>
      </c>
      <c r="K55" s="56">
        <v>0</v>
      </c>
      <c r="L55" s="73">
        <f t="shared" si="2"/>
        <v>0</v>
      </c>
      <c r="M55" s="84">
        <f t="shared" si="3"/>
        <v>0</v>
      </c>
      <c r="N55" s="85"/>
    </row>
    <row r="56" spans="2:14" ht="15" customHeight="1" thickBot="1">
      <c r="B56" s="144"/>
      <c r="C56" s="145"/>
      <c r="D56" s="145"/>
      <c r="E56" s="145"/>
      <c r="F56" s="145"/>
      <c r="G56" s="146"/>
      <c r="H56" s="68" t="s">
        <v>9</v>
      </c>
      <c r="I56" s="69">
        <f>SUM(I47:I55)</f>
        <v>0</v>
      </c>
      <c r="J56" s="92" t="s">
        <v>10</v>
      </c>
      <c r="K56" s="93"/>
      <c r="L56" s="70">
        <f>SUM(L47:L55)</f>
        <v>0</v>
      </c>
      <c r="M56" s="134"/>
      <c r="N56" s="135"/>
    </row>
    <row r="57" spans="2:14" ht="17" thickBot="1">
      <c r="B57" s="136" t="s">
        <v>18</v>
      </c>
      <c r="C57" s="137"/>
      <c r="D57" s="137"/>
      <c r="E57" s="137"/>
      <c r="F57" s="137"/>
      <c r="G57" s="137"/>
      <c r="H57" s="137"/>
      <c r="I57" s="137"/>
      <c r="J57" s="137"/>
      <c r="K57" s="137"/>
      <c r="L57" s="138"/>
      <c r="M57" s="132">
        <f>SUM(M47:M55)</f>
        <v>0</v>
      </c>
      <c r="N57" s="133"/>
    </row>
    <row r="58" spans="2:14" ht="15" customHeight="1" thickBot="1">
      <c r="B58" s="139" t="s">
        <v>23</v>
      </c>
      <c r="C58" s="140"/>
      <c r="D58" s="140"/>
      <c r="E58" s="140"/>
      <c r="F58" s="140"/>
      <c r="G58" s="140"/>
      <c r="H58" s="140"/>
      <c r="I58" s="140"/>
      <c r="J58" s="143"/>
      <c r="K58" s="143"/>
      <c r="L58" s="78">
        <v>0.06</v>
      </c>
      <c r="M58" s="141">
        <f>SUM(M30+M45+M57)*L58</f>
        <v>1020.5999999999999</v>
      </c>
      <c r="N58" s="133"/>
    </row>
    <row r="59" spans="2:14" ht="15" customHeight="1" thickBot="1">
      <c r="B59" s="139" t="s">
        <v>24</v>
      </c>
      <c r="C59" s="140"/>
      <c r="D59" s="140"/>
      <c r="E59" s="140"/>
      <c r="F59" s="140"/>
      <c r="G59" s="140"/>
      <c r="H59" s="140"/>
      <c r="I59" s="140"/>
      <c r="J59" s="143"/>
      <c r="K59" s="143"/>
      <c r="L59" s="78">
        <v>5.2999999999999999E-2</v>
      </c>
      <c r="M59" s="141">
        <f>(I44)*L59</f>
        <v>0</v>
      </c>
      <c r="N59" s="133"/>
    </row>
    <row r="60" spans="2:14" ht="24.75" customHeight="1" thickBot="1">
      <c r="B60" s="142" t="s">
        <v>19</v>
      </c>
      <c r="C60" s="112"/>
      <c r="D60" s="112"/>
      <c r="E60" s="112"/>
      <c r="F60" s="112"/>
      <c r="G60" s="112"/>
      <c r="H60" s="112"/>
      <c r="I60" s="112"/>
      <c r="J60" s="112"/>
      <c r="K60" s="112"/>
      <c r="L60" s="113"/>
      <c r="M60" s="155">
        <f>SUM(M30+M45+M57+M58+M59)</f>
        <v>18030.599999999999</v>
      </c>
      <c r="N60" s="156"/>
    </row>
    <row r="61" spans="2:14" ht="15" customHeight="1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2:14" s="39" customFormat="1" ht="15" customHeight="1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7"/>
    </row>
    <row r="63" spans="2:14" ht="21" customHeight="1" thickBot="1">
      <c r="B63" s="5"/>
      <c r="C63" s="153" t="s">
        <v>27</v>
      </c>
      <c r="D63" s="154"/>
      <c r="E63" s="154"/>
      <c r="F63" s="40"/>
      <c r="G63" s="6"/>
      <c r="H63" s="80">
        <v>44207</v>
      </c>
      <c r="I63" s="41"/>
      <c r="J63" s="41"/>
      <c r="K63" s="6"/>
      <c r="L63" s="6"/>
      <c r="M63" s="6"/>
      <c r="N63" s="7"/>
    </row>
    <row r="64" spans="2:14" ht="16.5" customHeight="1">
      <c r="B64" s="5"/>
      <c r="C64" s="147" t="s">
        <v>31</v>
      </c>
      <c r="D64" s="148"/>
      <c r="E64" s="148"/>
      <c r="F64" s="42"/>
      <c r="G64" s="9"/>
      <c r="H64" s="79" t="s">
        <v>14</v>
      </c>
      <c r="I64" s="43"/>
      <c r="J64" s="43"/>
      <c r="K64" s="6"/>
      <c r="L64" s="6"/>
      <c r="M64" s="6"/>
      <c r="N64" s="7"/>
    </row>
    <row r="65" spans="2:14" ht="12" customHeight="1">
      <c r="B65" s="5"/>
      <c r="C65" s="6"/>
      <c r="D65" s="44"/>
      <c r="E65" s="6"/>
      <c r="F65" s="6"/>
      <c r="G65" s="6"/>
      <c r="H65" s="6"/>
      <c r="I65" s="6"/>
      <c r="J65" s="6"/>
      <c r="K65" s="6"/>
      <c r="L65" s="6"/>
      <c r="M65" s="6"/>
      <c r="N65" s="7"/>
    </row>
    <row r="66" spans="2:14" ht="12.75" customHeight="1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7"/>
    </row>
    <row r="67" spans="2:14" ht="12.75" customHeight="1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2:14" ht="12.75" customHeight="1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</row>
    <row r="69" spans="2:14" ht="12.75" customHeight="1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2:14" ht="12.75" customHeight="1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2:14" ht="12.75" customHeight="1" thickBot="1">
      <c r="B71" s="45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</row>
    <row r="72" spans="2:14" ht="12.75" customHeight="1"/>
    <row r="73" spans="2:14" ht="12.75" customHeight="1"/>
    <row r="74" spans="2:14" ht="12.75" customHeight="1"/>
    <row r="75" spans="2:14" ht="12.75" customHeight="1"/>
  </sheetData>
  <sheetProtection selectLockedCells="1" selectUnlockedCells="1"/>
  <mergeCells count="99">
    <mergeCell ref="K7:L7"/>
    <mergeCell ref="K15:M15"/>
    <mergeCell ref="M24:N24"/>
    <mergeCell ref="M43:N43"/>
    <mergeCell ref="K16:M16"/>
    <mergeCell ref="C35:H35"/>
    <mergeCell ref="C34:H34"/>
    <mergeCell ref="M33:N33"/>
    <mergeCell ref="M32:N32"/>
    <mergeCell ref="M36:N36"/>
    <mergeCell ref="B23:N23"/>
    <mergeCell ref="M37:N37"/>
    <mergeCell ref="M38:N38"/>
    <mergeCell ref="M47:N47"/>
    <mergeCell ref="M45:N45"/>
    <mergeCell ref="M44:N44"/>
    <mergeCell ref="C27:H27"/>
    <mergeCell ref="C28:H28"/>
    <mergeCell ref="B24:H24"/>
    <mergeCell ref="C25:H25"/>
    <mergeCell ref="C55:H55"/>
    <mergeCell ref="C49:H49"/>
    <mergeCell ref="K8:L8"/>
    <mergeCell ref="K9:L9"/>
    <mergeCell ref="B30:L30"/>
    <mergeCell ref="M30:N30"/>
    <mergeCell ref="C14:F14"/>
    <mergeCell ref="D18:F18"/>
    <mergeCell ref="F22:N22"/>
    <mergeCell ref="K14:M14"/>
    <mergeCell ref="C64:E64"/>
    <mergeCell ref="M25:N25"/>
    <mergeCell ref="M26:N26"/>
    <mergeCell ref="M27:N27"/>
    <mergeCell ref="M28:N28"/>
    <mergeCell ref="M29:N29"/>
    <mergeCell ref="B59:I59"/>
    <mergeCell ref="J59:K59"/>
    <mergeCell ref="C63:E63"/>
    <mergeCell ref="M60:N60"/>
    <mergeCell ref="M57:N57"/>
    <mergeCell ref="M56:N56"/>
    <mergeCell ref="B57:L57"/>
    <mergeCell ref="B58:I58"/>
    <mergeCell ref="M59:N59"/>
    <mergeCell ref="B60:L60"/>
    <mergeCell ref="J56:K56"/>
    <mergeCell ref="J58:K58"/>
    <mergeCell ref="M58:N58"/>
    <mergeCell ref="B56:G56"/>
    <mergeCell ref="C37:H37"/>
    <mergeCell ref="C38:H38"/>
    <mergeCell ref="B46:H46"/>
    <mergeCell ref="M51:N51"/>
    <mergeCell ref="M50:N50"/>
    <mergeCell ref="M49:N49"/>
    <mergeCell ref="C39:H39"/>
    <mergeCell ref="M39:N39"/>
    <mergeCell ref="M42:N42"/>
    <mergeCell ref="M52:N52"/>
    <mergeCell ref="C40:H40"/>
    <mergeCell ref="M46:N46"/>
    <mergeCell ref="C43:H43"/>
    <mergeCell ref="C50:H50"/>
    <mergeCell ref="C52:H52"/>
    <mergeCell ref="M40:N40"/>
    <mergeCell ref="C41:H41"/>
    <mergeCell ref="M41:N41"/>
    <mergeCell ref="C42:H42"/>
    <mergeCell ref="C54:H54"/>
    <mergeCell ref="C53:H53"/>
    <mergeCell ref="C51:H51"/>
    <mergeCell ref="M34:N34"/>
    <mergeCell ref="C48:H48"/>
    <mergeCell ref="B44:G44"/>
    <mergeCell ref="B45:L45"/>
    <mergeCell ref="C36:H36"/>
    <mergeCell ref="C47:H47"/>
    <mergeCell ref="M48:N48"/>
    <mergeCell ref="C15:F15"/>
    <mergeCell ref="C13:F13"/>
    <mergeCell ref="C16:F16"/>
    <mergeCell ref="C17:F17"/>
    <mergeCell ref="B22:E22"/>
    <mergeCell ref="C33:H33"/>
    <mergeCell ref="C32:H32"/>
    <mergeCell ref="B31:H31"/>
    <mergeCell ref="B29:G29"/>
    <mergeCell ref="C26:H26"/>
    <mergeCell ref="L2:M2"/>
    <mergeCell ref="M55:N55"/>
    <mergeCell ref="M54:N54"/>
    <mergeCell ref="K19:L19"/>
    <mergeCell ref="J13:M13"/>
    <mergeCell ref="J29:K29"/>
    <mergeCell ref="J44:K44"/>
    <mergeCell ref="M31:N31"/>
    <mergeCell ref="M53:N53"/>
    <mergeCell ref="M35:N35"/>
  </mergeCells>
  <phoneticPr fontId="0" type="noConversion"/>
  <printOptions horizontalCentered="1"/>
  <pageMargins left="0.05" right="0.05" top="0.5" bottom="1" header="0.5" footer="0.5"/>
  <pageSetup scale="5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3" sqref="A3"/>
    </sheetView>
  </sheetViews>
  <sheetFormatPr baseColWidth="10" defaultRowHeight="13"/>
  <sheetData>
    <row r="1" spans="1:7">
      <c r="A1" t="s">
        <v>41</v>
      </c>
      <c r="B1" t="s">
        <v>42</v>
      </c>
      <c r="C1" t="s">
        <v>43</v>
      </c>
      <c r="D1" t="s">
        <v>44</v>
      </c>
      <c r="E1">
        <v>2120.4</v>
      </c>
      <c r="G1" t="s">
        <v>45</v>
      </c>
    </row>
  </sheetData>
  <phoneticPr fontId="1" type="noConversion"/>
  <pageMargins left="0.75" right="0.75" top="1" bottom="1" header="0.3" footer="0.3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Capital Proposal</vt:lpstr>
      <vt:lpstr>Sheet1</vt:lpstr>
      <vt:lpstr>'Capital Proposal'!Print_Area</vt:lpstr>
    </vt:vector>
  </TitlesOfParts>
  <Company>PR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Microsoft Office User</cp:lastModifiedBy>
  <cp:lastPrinted>2020-02-19T15:20:51Z</cp:lastPrinted>
  <dcterms:created xsi:type="dcterms:W3CDTF">2005-02-17T00:11:27Z</dcterms:created>
  <dcterms:modified xsi:type="dcterms:W3CDTF">2021-01-13T21:02:54Z</dcterms:modified>
</cp:coreProperties>
</file>